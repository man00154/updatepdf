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shutosh\Downloads\excel_files\"/>
    </mc:Choice>
  </mc:AlternateContent>
  <xr:revisionPtr revIDLastSave="0" documentId="13_ncr:1_{D4BC772A-80E2-431F-B7E9-A08E00A3D4F4}" xr6:coauthVersionLast="47" xr6:coauthVersionMax="47" xr10:uidLastSave="{00000000-0000-0000-0000-000000000000}"/>
  <bookViews>
    <workbookView xWindow="-108" yWindow="-108" windowWidth="23256" windowHeight="12456" tabRatio="500" firstSheet="1" activeTab="3" xr2:uid="{00000000-000D-0000-FFFF-FFFF00000000}"/>
  </bookViews>
  <sheets>
    <sheet name="Summary" sheetId="1" r:id="rId1"/>
    <sheet name="NEW SUMMARY" sheetId="2" r:id="rId2"/>
    <sheet name="Facility details " sheetId="3" r:id="rId3"/>
    <sheet name="Customer details" sheetId="4" r:id="rId4"/>
    <sheet name="Disconnection details" sheetId="5" r:id="rId5"/>
  </sheets>
  <externalReferences>
    <externalReference r:id="rId6"/>
    <externalReference r:id="rId7"/>
  </externalReferences>
  <definedNames>
    <definedName name="_xlnm._FilterDatabase" localSheetId="3" hidden="1">'Customer details'!$3:$93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L93" i="4" l="1"/>
  <c r="AK93" i="4"/>
  <c r="Y93" i="4"/>
  <c r="X93" i="4"/>
  <c r="W93" i="4"/>
  <c r="T93" i="4"/>
  <c r="L93" i="4"/>
  <c r="M93" i="4"/>
  <c r="N93" i="4" s="1"/>
  <c r="I93" i="4"/>
  <c r="AL21" i="5"/>
  <c r="AK21" i="5"/>
  <c r="Y21" i="5"/>
  <c r="X21" i="5"/>
  <c r="T21" i="5"/>
  <c r="P21" i="5"/>
  <c r="W21" i="5" s="1"/>
  <c r="M21" i="5"/>
  <c r="N21" i="5" s="1"/>
  <c r="L21" i="5"/>
  <c r="I21" i="5"/>
  <c r="AL20" i="5"/>
  <c r="AK20" i="5"/>
  <c r="AA20" i="5"/>
  <c r="Y20" i="5"/>
  <c r="X20" i="5"/>
  <c r="T20" i="5"/>
  <c r="P20" i="5"/>
  <c r="W20" i="5" s="1"/>
  <c r="M20" i="5"/>
  <c r="N20" i="5" s="1"/>
  <c r="L20" i="5"/>
  <c r="I20" i="5"/>
  <c r="AL19" i="5"/>
  <c r="AK19" i="5"/>
  <c r="Y19" i="5"/>
  <c r="X19" i="5"/>
  <c r="T19" i="5"/>
  <c r="P19" i="5"/>
  <c r="W19" i="5" s="1"/>
  <c r="M19" i="5"/>
  <c r="N19" i="5" s="1"/>
  <c r="L19" i="5"/>
  <c r="I19" i="5"/>
  <c r="AQ18" i="5"/>
  <c r="AL18" i="5"/>
  <c r="AR18" i="5" s="1"/>
  <c r="AK18" i="5"/>
  <c r="AA18" i="5"/>
  <c r="Y18" i="5"/>
  <c r="X18" i="5"/>
  <c r="W18" i="5"/>
  <c r="T18" i="5"/>
  <c r="P18" i="5"/>
  <c r="O18" i="5"/>
  <c r="M18" i="5"/>
  <c r="L18" i="5"/>
  <c r="I18" i="5"/>
  <c r="I92" i="4"/>
  <c r="L92" i="4"/>
  <c r="M92" i="4"/>
  <c r="N92" i="4" s="1"/>
  <c r="W92" i="4"/>
  <c r="X92" i="4"/>
  <c r="AK92" i="4"/>
  <c r="AL92" i="4"/>
  <c r="S4" i="4"/>
  <c r="S87" i="4"/>
  <c r="S86" i="4"/>
  <c r="S82" i="4"/>
  <c r="S80" i="4"/>
  <c r="S25" i="4"/>
  <c r="S24" i="4"/>
  <c r="S23" i="4"/>
  <c r="S21" i="4"/>
  <c r="S20" i="4"/>
  <c r="S19" i="4"/>
  <c r="S18" i="4"/>
  <c r="S14" i="4"/>
  <c r="S13" i="4"/>
  <c r="S12" i="4"/>
  <c r="S11" i="4"/>
  <c r="S10" i="4"/>
  <c r="S9" i="4"/>
  <c r="S7" i="4"/>
  <c r="S6" i="4"/>
  <c r="S5" i="4"/>
  <c r="V93" i="4" l="1"/>
  <c r="Z93" i="4"/>
  <c r="V21" i="5"/>
  <c r="Z21" i="5"/>
  <c r="T92" i="4"/>
  <c r="Y92" i="4"/>
  <c r="Z20" i="5"/>
  <c r="V20" i="5"/>
  <c r="Z19" i="5"/>
  <c r="V19" i="5"/>
  <c r="V18" i="5"/>
  <c r="Z18" i="5"/>
  <c r="N18" i="5"/>
  <c r="AO18" i="5"/>
  <c r="AT18" i="5" s="1"/>
  <c r="C4" i="3"/>
  <c r="Z92" i="4" l="1"/>
  <c r="V92" i="4"/>
  <c r="AK91" i="4"/>
  <c r="AL91" i="4"/>
  <c r="Y91" i="4"/>
  <c r="L91" i="4"/>
  <c r="M91" i="4"/>
  <c r="N91" i="4" s="1"/>
  <c r="X91" i="4" l="1"/>
  <c r="T91" i="4"/>
  <c r="I91" i="4"/>
  <c r="W91" i="4"/>
  <c r="T87" i="4"/>
  <c r="Z87" i="4" s="1"/>
  <c r="T86" i="4"/>
  <c r="T82" i="4"/>
  <c r="Z82" i="4" s="1"/>
  <c r="T80" i="4"/>
  <c r="Z80" i="4" s="1"/>
  <c r="X25" i="4"/>
  <c r="Y24" i="4"/>
  <c r="Y23" i="4"/>
  <c r="Y21" i="4"/>
  <c r="Y20" i="4"/>
  <c r="Y19" i="4"/>
  <c r="X18" i="4"/>
  <c r="X14" i="4"/>
  <c r="Y13" i="4"/>
  <c r="Y12" i="4"/>
  <c r="Y11" i="4"/>
  <c r="X10" i="4"/>
  <c r="T9" i="4"/>
  <c r="Z9" i="4" s="1"/>
  <c r="Y7" i="4"/>
  <c r="Y6" i="4"/>
  <c r="Y5" i="4"/>
  <c r="T4" i="4"/>
  <c r="Y82" i="4"/>
  <c r="AL17" i="5"/>
  <c r="AK17" i="5"/>
  <c r="Y17" i="5"/>
  <c r="X17" i="5"/>
  <c r="T17" i="5"/>
  <c r="P17" i="5"/>
  <c r="W17" i="5" s="1"/>
  <c r="M17" i="5"/>
  <c r="N17" i="5" s="1"/>
  <c r="L17" i="5"/>
  <c r="I17" i="5"/>
  <c r="AQ16" i="5"/>
  <c r="AL16" i="5"/>
  <c r="AR16" i="5" s="1"/>
  <c r="AK16" i="5"/>
  <c r="AA16" i="5"/>
  <c r="Y16" i="5"/>
  <c r="X16" i="5"/>
  <c r="T16" i="5"/>
  <c r="P16" i="5"/>
  <c r="W16" i="5" s="1"/>
  <c r="O16" i="5"/>
  <c r="M16" i="5"/>
  <c r="N16" i="5" s="1"/>
  <c r="L16" i="5"/>
  <c r="I16" i="5"/>
  <c r="AQ15" i="5"/>
  <c r="AL15" i="5"/>
  <c r="AR15" i="5" s="1"/>
  <c r="AK15" i="5"/>
  <c r="AA15" i="5"/>
  <c r="Y15" i="5"/>
  <c r="X15" i="5"/>
  <c r="V15" i="5"/>
  <c r="T15" i="5"/>
  <c r="Z15" i="5" s="1"/>
  <c r="P15" i="5"/>
  <c r="W15" i="5" s="1"/>
  <c r="O15" i="5"/>
  <c r="M15" i="5"/>
  <c r="N15" i="5" s="1"/>
  <c r="L15" i="5"/>
  <c r="I15" i="5"/>
  <c r="AQ14" i="5"/>
  <c r="AL14" i="5"/>
  <c r="AR14" i="5" s="1"/>
  <c r="AK14" i="5"/>
  <c r="Y14" i="5"/>
  <c r="X14" i="5"/>
  <c r="T14" i="5"/>
  <c r="P14" i="5"/>
  <c r="W14" i="5" s="1"/>
  <c r="M14" i="5"/>
  <c r="L14" i="5"/>
  <c r="I14" i="5"/>
  <c r="AL13" i="5"/>
  <c r="Y13" i="5"/>
  <c r="X13" i="5"/>
  <c r="W13" i="5"/>
  <c r="T13" i="5"/>
  <c r="N13" i="5"/>
  <c r="L13" i="5"/>
  <c r="I13" i="5"/>
  <c r="AL12" i="5"/>
  <c r="Y12" i="5"/>
  <c r="X12" i="5"/>
  <c r="W12" i="5"/>
  <c r="T12" i="5"/>
  <c r="O12" i="5"/>
  <c r="N12" i="5"/>
  <c r="L12" i="5"/>
  <c r="I12" i="5"/>
  <c r="AQ11" i="5"/>
  <c r="AN11" i="5"/>
  <c r="AL11" i="5"/>
  <c r="Y11" i="5"/>
  <c r="X11" i="5"/>
  <c r="T11" i="5"/>
  <c r="P11" i="5"/>
  <c r="W11" i="5" s="1"/>
  <c r="O11" i="5"/>
  <c r="M11" i="5"/>
  <c r="N11" i="5" s="1"/>
  <c r="L11" i="5"/>
  <c r="I11" i="5"/>
  <c r="M10" i="5"/>
  <c r="L10" i="5"/>
  <c r="I10" i="5"/>
  <c r="M9" i="5"/>
  <c r="L9" i="5"/>
  <c r="I9" i="5"/>
  <c r="M8" i="5"/>
  <c r="L8" i="5"/>
  <c r="I8" i="5"/>
  <c r="M7" i="5"/>
  <c r="L7" i="5"/>
  <c r="I7" i="5"/>
  <c r="M6" i="5"/>
  <c r="L6" i="5"/>
  <c r="I6" i="5"/>
  <c r="M5" i="5"/>
  <c r="L5" i="5"/>
  <c r="I5" i="5"/>
  <c r="M4" i="5"/>
  <c r="L4" i="5"/>
  <c r="I4" i="5"/>
  <c r="AE1" i="5"/>
  <c r="AC1" i="5"/>
  <c r="AF1" i="5" s="1"/>
  <c r="Z1" i="5"/>
  <c r="AL90" i="4"/>
  <c r="AK90" i="4"/>
  <c r="AA90" i="4"/>
  <c r="Y90" i="4"/>
  <c r="X90" i="4"/>
  <c r="T90" i="4"/>
  <c r="Z90" i="4" s="1"/>
  <c r="P90" i="4"/>
  <c r="W90" i="4" s="1"/>
  <c r="M90" i="4"/>
  <c r="N90" i="4" s="1"/>
  <c r="L90" i="4"/>
  <c r="I90" i="4"/>
  <c r="AL89" i="4"/>
  <c r="AK89" i="4"/>
  <c r="Y89" i="4"/>
  <c r="X89" i="4"/>
  <c r="T89" i="4"/>
  <c r="Z89" i="4" s="1"/>
  <c r="P89" i="4"/>
  <c r="W89" i="4" s="1"/>
  <c r="M89" i="4"/>
  <c r="N89" i="4" s="1"/>
  <c r="L89" i="4"/>
  <c r="I89" i="4"/>
  <c r="AL88" i="4"/>
  <c r="AK88" i="4"/>
  <c r="Y88" i="4"/>
  <c r="X88" i="4"/>
  <c r="T88" i="4"/>
  <c r="Z88" i="4" s="1"/>
  <c r="P88" i="4"/>
  <c r="M88" i="4"/>
  <c r="N88" i="4" s="1"/>
  <c r="L88" i="4"/>
  <c r="I88" i="4"/>
  <c r="AL87" i="4"/>
  <c r="AK87" i="4"/>
  <c r="P87" i="4"/>
  <c r="W87" i="4" s="1"/>
  <c r="M87" i="4"/>
  <c r="N87" i="4" s="1"/>
  <c r="L87" i="4"/>
  <c r="I87" i="4"/>
  <c r="AL86" i="4"/>
  <c r="AK86" i="4"/>
  <c r="P86" i="4"/>
  <c r="W86" i="4" s="1"/>
  <c r="M86" i="4"/>
  <c r="N86" i="4" s="1"/>
  <c r="L86" i="4"/>
  <c r="I86" i="4"/>
  <c r="AL85" i="4"/>
  <c r="AK85" i="4"/>
  <c r="Y85" i="4"/>
  <c r="X85" i="4"/>
  <c r="T85" i="4"/>
  <c r="Z85" i="4" s="1"/>
  <c r="P85" i="4"/>
  <c r="M85" i="4"/>
  <c r="N85" i="4" s="1"/>
  <c r="L85" i="4"/>
  <c r="I85" i="4"/>
  <c r="AL84" i="4"/>
  <c r="AK84" i="4"/>
  <c r="Y84" i="4"/>
  <c r="X84" i="4"/>
  <c r="T84" i="4"/>
  <c r="Z84" i="4" s="1"/>
  <c r="P84" i="4"/>
  <c r="M84" i="4"/>
  <c r="N84" i="4" s="1"/>
  <c r="L84" i="4"/>
  <c r="I84" i="4"/>
  <c r="AL83" i="4"/>
  <c r="AK83" i="4"/>
  <c r="Y83" i="4"/>
  <c r="X83" i="4"/>
  <c r="T83" i="4"/>
  <c r="Z83" i="4" s="1"/>
  <c r="P83" i="4"/>
  <c r="W83" i="4" s="1"/>
  <c r="M83" i="4"/>
  <c r="N83" i="4" s="1"/>
  <c r="L83" i="4"/>
  <c r="I83" i="4"/>
  <c r="AL82" i="4"/>
  <c r="AK82" i="4"/>
  <c r="P82" i="4"/>
  <c r="W82" i="4" s="1"/>
  <c r="M82" i="4"/>
  <c r="N82" i="4" s="1"/>
  <c r="L82" i="4"/>
  <c r="I82" i="4"/>
  <c r="AL81" i="4"/>
  <c r="AK81" i="4"/>
  <c r="Y81" i="4"/>
  <c r="X81" i="4"/>
  <c r="T81" i="4"/>
  <c r="Z81" i="4" s="1"/>
  <c r="P81" i="4"/>
  <c r="W81" i="4" s="1"/>
  <c r="M81" i="4"/>
  <c r="N81" i="4" s="1"/>
  <c r="L81" i="4"/>
  <c r="I81" i="4"/>
  <c r="AL80" i="4"/>
  <c r="AK80" i="4"/>
  <c r="P80" i="4"/>
  <c r="W80" i="4" s="1"/>
  <c r="M80" i="4"/>
  <c r="N80" i="4" s="1"/>
  <c r="L80" i="4"/>
  <c r="I80" i="4"/>
  <c r="AL79" i="4"/>
  <c r="AK79" i="4"/>
  <c r="Y79" i="4"/>
  <c r="X79" i="4"/>
  <c r="T79" i="4"/>
  <c r="V79" i="4" s="1"/>
  <c r="P79" i="4"/>
  <c r="W79" i="4" s="1"/>
  <c r="O79" i="4"/>
  <c r="M79" i="4"/>
  <c r="N79" i="4" s="1"/>
  <c r="L79" i="4"/>
  <c r="I79" i="4"/>
  <c r="AL78" i="4"/>
  <c r="AK78" i="4"/>
  <c r="Y78" i="4"/>
  <c r="X78" i="4"/>
  <c r="T78" i="4"/>
  <c r="Z78" i="4" s="1"/>
  <c r="P78" i="4"/>
  <c r="W78" i="4" s="1"/>
  <c r="O78" i="4"/>
  <c r="M78" i="4"/>
  <c r="N78" i="4" s="1"/>
  <c r="L78" i="4"/>
  <c r="I78" i="4"/>
  <c r="AL77" i="4"/>
  <c r="AK77" i="4"/>
  <c r="Y77" i="4"/>
  <c r="X77" i="4"/>
  <c r="T77" i="4"/>
  <c r="Z77" i="4" s="1"/>
  <c r="P77" i="4"/>
  <c r="W77" i="4" s="1"/>
  <c r="M77" i="4"/>
  <c r="N77" i="4" s="1"/>
  <c r="L77" i="4"/>
  <c r="I77" i="4"/>
  <c r="AL76" i="4"/>
  <c r="AK76" i="4"/>
  <c r="AA76" i="4"/>
  <c r="Y76" i="4"/>
  <c r="X76" i="4"/>
  <c r="T76" i="4"/>
  <c r="Z76" i="4" s="1"/>
  <c r="P76" i="4"/>
  <c r="W76" i="4" s="1"/>
  <c r="M76" i="4"/>
  <c r="N76" i="4" s="1"/>
  <c r="L76" i="4"/>
  <c r="I76" i="4"/>
  <c r="AL75" i="4"/>
  <c r="AK75" i="4"/>
  <c r="AA75" i="4"/>
  <c r="Y75" i="4"/>
  <c r="X75" i="4"/>
  <c r="T75" i="4"/>
  <c r="Z75" i="4" s="1"/>
  <c r="P75" i="4"/>
  <c r="W75" i="4" s="1"/>
  <c r="M75" i="4"/>
  <c r="N75" i="4" s="1"/>
  <c r="L75" i="4"/>
  <c r="I75" i="4"/>
  <c r="AL74" i="4"/>
  <c r="AK74" i="4"/>
  <c r="Y74" i="4"/>
  <c r="X74" i="4"/>
  <c r="T74" i="4"/>
  <c r="Z74" i="4" s="1"/>
  <c r="P74" i="4"/>
  <c r="W74" i="4" s="1"/>
  <c r="O74" i="4"/>
  <c r="M74" i="4"/>
  <c r="N74" i="4" s="1"/>
  <c r="L74" i="4"/>
  <c r="I74" i="4"/>
  <c r="AL73" i="4"/>
  <c r="AK73" i="4"/>
  <c r="Y73" i="4"/>
  <c r="X73" i="4"/>
  <c r="T73" i="4"/>
  <c r="P73" i="4"/>
  <c r="W73" i="4" s="1"/>
  <c r="M73" i="4"/>
  <c r="N73" i="4" s="1"/>
  <c r="L73" i="4"/>
  <c r="I73" i="4"/>
  <c r="AL72" i="4"/>
  <c r="AK72" i="4"/>
  <c r="Y72" i="4"/>
  <c r="X72" i="4"/>
  <c r="T72" i="4"/>
  <c r="Z72" i="4" s="1"/>
  <c r="P72" i="4"/>
  <c r="W72" i="4" s="1"/>
  <c r="M72" i="4"/>
  <c r="N72" i="4" s="1"/>
  <c r="L72" i="4"/>
  <c r="I72" i="4"/>
  <c r="AL71" i="4"/>
  <c r="AK71" i="4"/>
  <c r="Y71" i="4"/>
  <c r="X71" i="4"/>
  <c r="T71" i="4"/>
  <c r="Z71" i="4" s="1"/>
  <c r="P71" i="4"/>
  <c r="W71" i="4" s="1"/>
  <c r="M71" i="4"/>
  <c r="N71" i="4" s="1"/>
  <c r="L71" i="4"/>
  <c r="I71" i="4"/>
  <c r="AL70" i="4"/>
  <c r="AK70" i="4"/>
  <c r="Y70" i="4"/>
  <c r="X70" i="4"/>
  <c r="T70" i="4"/>
  <c r="Z70" i="4" s="1"/>
  <c r="P70" i="4"/>
  <c r="W70" i="4" s="1"/>
  <c r="M70" i="4"/>
  <c r="N70" i="4" s="1"/>
  <c r="L70" i="4"/>
  <c r="I70" i="4"/>
  <c r="AL69" i="4"/>
  <c r="AK69" i="4"/>
  <c r="Y69" i="4"/>
  <c r="X69" i="4"/>
  <c r="T69" i="4"/>
  <c r="Z69" i="4" s="1"/>
  <c r="P69" i="4"/>
  <c r="W69" i="4" s="1"/>
  <c r="M69" i="4"/>
  <c r="N69" i="4" s="1"/>
  <c r="L69" i="4"/>
  <c r="I69" i="4"/>
  <c r="AL68" i="4"/>
  <c r="AK68" i="4"/>
  <c r="Y68" i="4"/>
  <c r="X68" i="4"/>
  <c r="T68" i="4"/>
  <c r="Z68" i="4" s="1"/>
  <c r="P68" i="4"/>
  <c r="W68" i="4" s="1"/>
  <c r="M68" i="4"/>
  <c r="N68" i="4" s="1"/>
  <c r="L68" i="4"/>
  <c r="I68" i="4"/>
  <c r="AL67" i="4"/>
  <c r="AK67" i="4"/>
  <c r="Y67" i="4"/>
  <c r="X67" i="4"/>
  <c r="T67" i="4"/>
  <c r="Z67" i="4" s="1"/>
  <c r="P67" i="4"/>
  <c r="W67" i="4" s="1"/>
  <c r="M67" i="4"/>
  <c r="N67" i="4" s="1"/>
  <c r="L67" i="4"/>
  <c r="I67" i="4"/>
  <c r="AL66" i="4"/>
  <c r="AK66" i="4"/>
  <c r="Y66" i="4"/>
  <c r="X66" i="4"/>
  <c r="T66" i="4"/>
  <c r="Z66" i="4" s="1"/>
  <c r="P66" i="4"/>
  <c r="W66" i="4" s="1"/>
  <c r="M66" i="4"/>
  <c r="N66" i="4" s="1"/>
  <c r="L66" i="4"/>
  <c r="I66" i="4"/>
  <c r="AL65" i="4"/>
  <c r="AK65" i="4"/>
  <c r="Y65" i="4"/>
  <c r="X65" i="4"/>
  <c r="T65" i="4"/>
  <c r="Z65" i="4" s="1"/>
  <c r="P65" i="4"/>
  <c r="W65" i="4" s="1"/>
  <c r="M65" i="4"/>
  <c r="N65" i="4" s="1"/>
  <c r="L65" i="4"/>
  <c r="I65" i="4"/>
  <c r="AL64" i="4"/>
  <c r="AK64" i="4"/>
  <c r="Y64" i="4"/>
  <c r="X64" i="4"/>
  <c r="T64" i="4"/>
  <c r="Z64" i="4" s="1"/>
  <c r="P64" i="4"/>
  <c r="W64" i="4" s="1"/>
  <c r="M64" i="4"/>
  <c r="N64" i="4" s="1"/>
  <c r="L64" i="4"/>
  <c r="I64" i="4"/>
  <c r="AL63" i="4"/>
  <c r="AK63" i="4"/>
  <c r="Y63" i="4"/>
  <c r="X63" i="4"/>
  <c r="T63" i="4"/>
  <c r="Z63" i="4" s="1"/>
  <c r="P63" i="4"/>
  <c r="W63" i="4" s="1"/>
  <c r="M63" i="4"/>
  <c r="N63" i="4" s="1"/>
  <c r="L63" i="4"/>
  <c r="I63" i="4"/>
  <c r="AL62" i="4"/>
  <c r="AK62" i="4"/>
  <c r="Y62" i="4"/>
  <c r="X62" i="4"/>
  <c r="T62" i="4"/>
  <c r="V62" i="4" s="1"/>
  <c r="P62" i="4"/>
  <c r="W62" i="4" s="1"/>
  <c r="M62" i="4"/>
  <c r="N62" i="4" s="1"/>
  <c r="L62" i="4"/>
  <c r="I62" i="4"/>
  <c r="AL61" i="4"/>
  <c r="AK61" i="4"/>
  <c r="Y61" i="4"/>
  <c r="X61" i="4"/>
  <c r="T61" i="4"/>
  <c r="Z61" i="4" s="1"/>
  <c r="P61" i="4"/>
  <c r="W61" i="4" s="1"/>
  <c r="M61" i="4"/>
  <c r="N61" i="4" s="1"/>
  <c r="L61" i="4"/>
  <c r="I61" i="4"/>
  <c r="AL60" i="4"/>
  <c r="AK60" i="4"/>
  <c r="Y60" i="4"/>
  <c r="X60" i="4"/>
  <c r="T60" i="4"/>
  <c r="Z60" i="4" s="1"/>
  <c r="P60" i="4"/>
  <c r="W60" i="4" s="1"/>
  <c r="M60" i="4"/>
  <c r="N60" i="4" s="1"/>
  <c r="L60" i="4"/>
  <c r="I60" i="4"/>
  <c r="AL59" i="4"/>
  <c r="AK59" i="4"/>
  <c r="Y59" i="4"/>
  <c r="X59" i="4"/>
  <c r="T59" i="4"/>
  <c r="Z59" i="4" s="1"/>
  <c r="P59" i="4"/>
  <c r="W59" i="4" s="1"/>
  <c r="O59" i="4"/>
  <c r="M59" i="4"/>
  <c r="N59" i="4" s="1"/>
  <c r="L59" i="4"/>
  <c r="I59" i="4"/>
  <c r="AL58" i="4"/>
  <c r="AK58" i="4"/>
  <c r="Y58" i="4"/>
  <c r="X58" i="4"/>
  <c r="T58" i="4"/>
  <c r="Z58" i="4" s="1"/>
  <c r="P58" i="4"/>
  <c r="W58" i="4" s="1"/>
  <c r="O58" i="4"/>
  <c r="M58" i="4"/>
  <c r="N58" i="4" s="1"/>
  <c r="L58" i="4"/>
  <c r="I58" i="4"/>
  <c r="AL57" i="4"/>
  <c r="AK57" i="4"/>
  <c r="AA57" i="4"/>
  <c r="Y57" i="4"/>
  <c r="X57" i="4"/>
  <c r="T57" i="4"/>
  <c r="P57" i="4"/>
  <c r="W57" i="4" s="1"/>
  <c r="O57" i="4"/>
  <c r="M57" i="4"/>
  <c r="N57" i="4" s="1"/>
  <c r="L57" i="4"/>
  <c r="I57" i="4"/>
  <c r="AL56" i="4"/>
  <c r="AK56" i="4"/>
  <c r="Y56" i="4"/>
  <c r="X56" i="4"/>
  <c r="T56" i="4"/>
  <c r="V56" i="4" s="1"/>
  <c r="P56" i="4"/>
  <c r="W56" i="4" s="1"/>
  <c r="O56" i="4"/>
  <c r="M56" i="4"/>
  <c r="N56" i="4" s="1"/>
  <c r="L56" i="4"/>
  <c r="I56" i="4"/>
  <c r="AL55" i="4"/>
  <c r="AK55" i="4"/>
  <c r="AA55" i="4"/>
  <c r="Y55" i="4"/>
  <c r="X55" i="4"/>
  <c r="T55" i="4"/>
  <c r="Z55" i="4" s="1"/>
  <c r="P55" i="4"/>
  <c r="W55" i="4" s="1"/>
  <c r="O55" i="4"/>
  <c r="M55" i="4"/>
  <c r="N55" i="4" s="1"/>
  <c r="L55" i="4"/>
  <c r="I55" i="4"/>
  <c r="AL54" i="4"/>
  <c r="AK54" i="4"/>
  <c r="AA54" i="4"/>
  <c r="Y54" i="4"/>
  <c r="X54" i="4"/>
  <c r="T54" i="4"/>
  <c r="Z54" i="4" s="1"/>
  <c r="P54" i="4"/>
  <c r="W54" i="4" s="1"/>
  <c r="O54" i="4"/>
  <c r="M54" i="4"/>
  <c r="N54" i="4" s="1"/>
  <c r="L54" i="4"/>
  <c r="I54" i="4"/>
  <c r="AL53" i="4"/>
  <c r="AK53" i="4"/>
  <c r="AA53" i="4"/>
  <c r="Y53" i="4"/>
  <c r="X53" i="4"/>
  <c r="T53" i="4"/>
  <c r="Z53" i="4" s="1"/>
  <c r="P53" i="4"/>
  <c r="W53" i="4" s="1"/>
  <c r="O53" i="4"/>
  <c r="M53" i="4"/>
  <c r="N53" i="4" s="1"/>
  <c r="L53" i="4"/>
  <c r="I53" i="4"/>
  <c r="AL52" i="4"/>
  <c r="AK52" i="4"/>
  <c r="Y52" i="4"/>
  <c r="X52" i="4"/>
  <c r="T52" i="4"/>
  <c r="Z52" i="4" s="1"/>
  <c r="P52" i="4"/>
  <c r="W52" i="4" s="1"/>
  <c r="M52" i="4"/>
  <c r="N52" i="4" s="1"/>
  <c r="L52" i="4"/>
  <c r="I52" i="4"/>
  <c r="AL51" i="4"/>
  <c r="AK51" i="4"/>
  <c r="AA51" i="4"/>
  <c r="Y51" i="4"/>
  <c r="X51" i="4"/>
  <c r="T51" i="4"/>
  <c r="Z51" i="4" s="1"/>
  <c r="P51" i="4"/>
  <c r="W51" i="4" s="1"/>
  <c r="O51" i="4"/>
  <c r="M51" i="4"/>
  <c r="N51" i="4" s="1"/>
  <c r="L51" i="4"/>
  <c r="I51" i="4"/>
  <c r="AL50" i="4"/>
  <c r="AK50" i="4"/>
  <c r="Y50" i="4"/>
  <c r="X50" i="4"/>
  <c r="T50" i="4"/>
  <c r="Z50" i="4" s="1"/>
  <c r="P50" i="4"/>
  <c r="W50" i="4" s="1"/>
  <c r="O50" i="4"/>
  <c r="M50" i="4"/>
  <c r="N50" i="4" s="1"/>
  <c r="L50" i="4"/>
  <c r="I50" i="4"/>
  <c r="AL49" i="4"/>
  <c r="AK49" i="4"/>
  <c r="AA49" i="4"/>
  <c r="Y49" i="4"/>
  <c r="X49" i="4"/>
  <c r="T49" i="4"/>
  <c r="Z49" i="4" s="1"/>
  <c r="P49" i="4"/>
  <c r="W49" i="4" s="1"/>
  <c r="O49" i="4"/>
  <c r="M49" i="4"/>
  <c r="N49" i="4" s="1"/>
  <c r="L49" i="4"/>
  <c r="I49" i="4"/>
  <c r="AL48" i="4"/>
  <c r="AK48" i="4"/>
  <c r="Y48" i="4"/>
  <c r="X48" i="4"/>
  <c r="T48" i="4"/>
  <c r="P48" i="4"/>
  <c r="W48" i="4" s="1"/>
  <c r="O48" i="4"/>
  <c r="M48" i="4"/>
  <c r="N48" i="4" s="1"/>
  <c r="L48" i="4"/>
  <c r="I48" i="4"/>
  <c r="AL47" i="4"/>
  <c r="AK47" i="4"/>
  <c r="AA47" i="4"/>
  <c r="Y47" i="4"/>
  <c r="X47" i="4"/>
  <c r="T47" i="4"/>
  <c r="P47" i="4"/>
  <c r="W47" i="4" s="1"/>
  <c r="O47" i="4"/>
  <c r="M47" i="4"/>
  <c r="N47" i="4" s="1"/>
  <c r="L47" i="4"/>
  <c r="I47" i="4"/>
  <c r="AL46" i="4"/>
  <c r="AK46" i="4"/>
  <c r="AA46" i="4"/>
  <c r="Y46" i="4"/>
  <c r="X46" i="4"/>
  <c r="T46" i="4"/>
  <c r="P46" i="4"/>
  <c r="W46" i="4" s="1"/>
  <c r="O46" i="4"/>
  <c r="M46" i="4"/>
  <c r="N46" i="4" s="1"/>
  <c r="L46" i="4"/>
  <c r="I46" i="4"/>
  <c r="AL45" i="4"/>
  <c r="AK45" i="4"/>
  <c r="Y45" i="4"/>
  <c r="X45" i="4"/>
  <c r="T45" i="4"/>
  <c r="Z45" i="4" s="1"/>
  <c r="P45" i="4"/>
  <c r="W45" i="4" s="1"/>
  <c r="O45" i="4"/>
  <c r="M45" i="4"/>
  <c r="N45" i="4" s="1"/>
  <c r="L45" i="4"/>
  <c r="I45" i="4"/>
  <c r="AL44" i="4"/>
  <c r="AK44" i="4"/>
  <c r="Y44" i="4"/>
  <c r="X44" i="4"/>
  <c r="T44" i="4"/>
  <c r="V44" i="4" s="1"/>
  <c r="P44" i="4"/>
  <c r="W44" i="4" s="1"/>
  <c r="M44" i="4"/>
  <c r="N44" i="4" s="1"/>
  <c r="L44" i="4"/>
  <c r="I44" i="4"/>
  <c r="AL43" i="4"/>
  <c r="AK43" i="4"/>
  <c r="AA43" i="4"/>
  <c r="Y43" i="4"/>
  <c r="X43" i="4"/>
  <c r="T43" i="4"/>
  <c r="Z43" i="4" s="1"/>
  <c r="P43" i="4"/>
  <c r="W43" i="4" s="1"/>
  <c r="O43" i="4"/>
  <c r="M43" i="4"/>
  <c r="N43" i="4" s="1"/>
  <c r="L43" i="4"/>
  <c r="I43" i="4"/>
  <c r="AL42" i="4"/>
  <c r="AK42" i="4"/>
  <c r="AA42" i="4"/>
  <c r="Y42" i="4"/>
  <c r="X42" i="4"/>
  <c r="T42" i="4"/>
  <c r="Z42" i="4" s="1"/>
  <c r="P42" i="4"/>
  <c r="W42" i="4" s="1"/>
  <c r="O42" i="4"/>
  <c r="M42" i="4"/>
  <c r="N42" i="4" s="1"/>
  <c r="L42" i="4"/>
  <c r="I42" i="4"/>
  <c r="AL41" i="4"/>
  <c r="AK41" i="4"/>
  <c r="AA41" i="4"/>
  <c r="Y41" i="4"/>
  <c r="X41" i="4"/>
  <c r="T41" i="4"/>
  <c r="Z41" i="4" s="1"/>
  <c r="P41" i="4"/>
  <c r="W41" i="4" s="1"/>
  <c r="O41" i="4"/>
  <c r="M41" i="4"/>
  <c r="N41" i="4" s="1"/>
  <c r="L41" i="4"/>
  <c r="I41" i="4"/>
  <c r="AL40" i="4"/>
  <c r="AK40" i="4"/>
  <c r="AA40" i="4"/>
  <c r="Y40" i="4"/>
  <c r="X40" i="4"/>
  <c r="T40" i="4"/>
  <c r="Z40" i="4" s="1"/>
  <c r="P40" i="4"/>
  <c r="W40" i="4" s="1"/>
  <c r="O40" i="4"/>
  <c r="M40" i="4"/>
  <c r="N40" i="4" s="1"/>
  <c r="L40" i="4"/>
  <c r="I40" i="4"/>
  <c r="AL39" i="4"/>
  <c r="AK39" i="4"/>
  <c r="AA39" i="4"/>
  <c r="Y39" i="4"/>
  <c r="X39" i="4"/>
  <c r="T39" i="4"/>
  <c r="Z39" i="4" s="1"/>
  <c r="P39" i="4"/>
  <c r="W39" i="4" s="1"/>
  <c r="O39" i="4"/>
  <c r="M39" i="4"/>
  <c r="N39" i="4" s="1"/>
  <c r="L39" i="4"/>
  <c r="I39" i="4"/>
  <c r="AQ38" i="4"/>
  <c r="AL38" i="4"/>
  <c r="AR38" i="4" s="1"/>
  <c r="AK38" i="4"/>
  <c r="AA38" i="4"/>
  <c r="Y38" i="4"/>
  <c r="X38" i="4"/>
  <c r="T38" i="4"/>
  <c r="Z38" i="4" s="1"/>
  <c r="P38" i="4"/>
  <c r="W38" i="4" s="1"/>
  <c r="O38" i="4"/>
  <c r="M38" i="4"/>
  <c r="AO38" i="4" s="1"/>
  <c r="L38" i="4"/>
  <c r="I38" i="4"/>
  <c r="AQ37" i="4"/>
  <c r="AL37" i="4"/>
  <c r="AR37" i="4" s="1"/>
  <c r="AK37" i="4"/>
  <c r="Y37" i="4"/>
  <c r="X37" i="4"/>
  <c r="T37" i="4"/>
  <c r="Z37" i="4" s="1"/>
  <c r="P37" i="4"/>
  <c r="W37" i="4" s="1"/>
  <c r="O37" i="4"/>
  <c r="M37" i="4"/>
  <c r="N37" i="4" s="1"/>
  <c r="L37" i="4"/>
  <c r="I37" i="4"/>
  <c r="AQ36" i="4"/>
  <c r="AL36" i="4"/>
  <c r="AR36" i="4" s="1"/>
  <c r="AK36" i="4"/>
  <c r="AA36" i="4"/>
  <c r="Y36" i="4"/>
  <c r="X36" i="4"/>
  <c r="T36" i="4"/>
  <c r="Z36" i="4" s="1"/>
  <c r="P36" i="4"/>
  <c r="W36" i="4" s="1"/>
  <c r="O36" i="4"/>
  <c r="M36" i="4"/>
  <c r="N36" i="4" s="1"/>
  <c r="L36" i="4"/>
  <c r="I36" i="4"/>
  <c r="AQ35" i="4"/>
  <c r="AL35" i="4"/>
  <c r="AR35" i="4" s="1"/>
  <c r="AK35" i="4"/>
  <c r="Y35" i="4"/>
  <c r="X35" i="4"/>
  <c r="T35" i="4"/>
  <c r="Z35" i="4" s="1"/>
  <c r="P35" i="4"/>
  <c r="W35" i="4" s="1"/>
  <c r="O35" i="4"/>
  <c r="M35" i="4"/>
  <c r="N35" i="4" s="1"/>
  <c r="L35" i="4"/>
  <c r="I35" i="4"/>
  <c r="AQ34" i="4"/>
  <c r="AL34" i="4"/>
  <c r="AR34" i="4" s="1"/>
  <c r="AK34" i="4"/>
  <c r="Y34" i="4"/>
  <c r="X34" i="4"/>
  <c r="T34" i="4"/>
  <c r="Z34" i="4" s="1"/>
  <c r="P34" i="4"/>
  <c r="W34" i="4" s="1"/>
  <c r="O34" i="4"/>
  <c r="M34" i="4"/>
  <c r="AO34" i="4" s="1"/>
  <c r="L34" i="4"/>
  <c r="I34" i="4"/>
  <c r="AQ33" i="4"/>
  <c r="AL33" i="4"/>
  <c r="AR33" i="4" s="1"/>
  <c r="AK33" i="4"/>
  <c r="Y33" i="4"/>
  <c r="X33" i="4"/>
  <c r="T33" i="4"/>
  <c r="Z33" i="4" s="1"/>
  <c r="P33" i="4"/>
  <c r="W33" i="4" s="1"/>
  <c r="O33" i="4"/>
  <c r="M33" i="4"/>
  <c r="AO33" i="4" s="1"/>
  <c r="L33" i="4"/>
  <c r="I33" i="4"/>
  <c r="AQ32" i="4"/>
  <c r="AL32" i="4"/>
  <c r="AR32" i="4" s="1"/>
  <c r="AK32" i="4"/>
  <c r="AA32" i="4"/>
  <c r="Y32" i="4"/>
  <c r="X32" i="4"/>
  <c r="T32" i="4"/>
  <c r="Z32" i="4" s="1"/>
  <c r="P32" i="4"/>
  <c r="W32" i="4" s="1"/>
  <c r="O32" i="4"/>
  <c r="M32" i="4"/>
  <c r="N32" i="4" s="1"/>
  <c r="L32" i="4"/>
  <c r="I32" i="4"/>
  <c r="AQ31" i="4"/>
  <c r="AL31" i="4"/>
  <c r="AR31" i="4" s="1"/>
  <c r="AK31" i="4"/>
  <c r="AA31" i="4"/>
  <c r="Y31" i="4"/>
  <c r="X31" i="4"/>
  <c r="T31" i="4"/>
  <c r="Z31" i="4" s="1"/>
  <c r="P31" i="4"/>
  <c r="W31" i="4" s="1"/>
  <c r="O31" i="4"/>
  <c r="M31" i="4"/>
  <c r="L31" i="4"/>
  <c r="I31" i="4"/>
  <c r="AQ30" i="4"/>
  <c r="AL30" i="4"/>
  <c r="AR30" i="4" s="1"/>
  <c r="AK30" i="4"/>
  <c r="AA30" i="4"/>
  <c r="Y30" i="4"/>
  <c r="X30" i="4"/>
  <c r="T30" i="4"/>
  <c r="P30" i="4"/>
  <c r="W30" i="4" s="1"/>
  <c r="O30" i="4"/>
  <c r="M30" i="4"/>
  <c r="N30" i="4" s="1"/>
  <c r="L30" i="4"/>
  <c r="I30" i="4"/>
  <c r="AQ29" i="4"/>
  <c r="AL29" i="4"/>
  <c r="AR29" i="4" s="1"/>
  <c r="AK29" i="4"/>
  <c r="Y29" i="4"/>
  <c r="X29" i="4"/>
  <c r="T29" i="4"/>
  <c r="Z29" i="4" s="1"/>
  <c r="P29" i="4"/>
  <c r="W29" i="4" s="1"/>
  <c r="O29" i="4"/>
  <c r="M29" i="4"/>
  <c r="N29" i="4" s="1"/>
  <c r="L29" i="4"/>
  <c r="I29" i="4"/>
  <c r="AQ28" i="4"/>
  <c r="AL28" i="4"/>
  <c r="AR28" i="4" s="1"/>
  <c r="AK28" i="4"/>
  <c r="AA28" i="4"/>
  <c r="Y28" i="4"/>
  <c r="X28" i="4"/>
  <c r="T28" i="4"/>
  <c r="Z28" i="4" s="1"/>
  <c r="P28" i="4"/>
  <c r="W28" i="4" s="1"/>
  <c r="O28" i="4"/>
  <c r="M28" i="4"/>
  <c r="AO28" i="4" s="1"/>
  <c r="L28" i="4"/>
  <c r="I28" i="4"/>
  <c r="AQ27" i="4"/>
  <c r="AL27" i="4"/>
  <c r="AR27" i="4" s="1"/>
  <c r="AK27" i="4"/>
  <c r="Y27" i="4"/>
  <c r="X27" i="4"/>
  <c r="T27" i="4"/>
  <c r="Z27" i="4" s="1"/>
  <c r="P27" i="4"/>
  <c r="W27" i="4" s="1"/>
  <c r="O27" i="4"/>
  <c r="M27" i="4"/>
  <c r="N27" i="4" s="1"/>
  <c r="L27" i="4"/>
  <c r="I27" i="4"/>
  <c r="AQ26" i="4"/>
  <c r="AL26" i="4"/>
  <c r="AR26" i="4" s="1"/>
  <c r="AK26" i="4"/>
  <c r="AA26" i="4"/>
  <c r="Y26" i="4"/>
  <c r="X26" i="4"/>
  <c r="T26" i="4"/>
  <c r="Z26" i="4" s="1"/>
  <c r="P26" i="4"/>
  <c r="W26" i="4" s="1"/>
  <c r="O26" i="4"/>
  <c r="M26" i="4"/>
  <c r="AO26" i="4" s="1"/>
  <c r="L26" i="4"/>
  <c r="I26" i="4"/>
  <c r="AQ25" i="4"/>
  <c r="AL25" i="4"/>
  <c r="AR25" i="4" s="1"/>
  <c r="AK25" i="4"/>
  <c r="P25" i="4"/>
  <c r="W25" i="4" s="1"/>
  <c r="O25" i="4"/>
  <c r="M25" i="4"/>
  <c r="N25" i="4" s="1"/>
  <c r="L25" i="4"/>
  <c r="I25" i="4"/>
  <c r="AQ24" i="4"/>
  <c r="AL24" i="4"/>
  <c r="AR24" i="4" s="1"/>
  <c r="AK24" i="4"/>
  <c r="P24" i="4"/>
  <c r="W24" i="4" s="1"/>
  <c r="M24" i="4"/>
  <c r="AO24" i="4" s="1"/>
  <c r="L24" i="4"/>
  <c r="I24" i="4"/>
  <c r="AQ23" i="4"/>
  <c r="AL23" i="4"/>
  <c r="AR23" i="4" s="1"/>
  <c r="AK23" i="4"/>
  <c r="P23" i="4"/>
  <c r="M23" i="4"/>
  <c r="N23" i="4" s="1"/>
  <c r="L23" i="4"/>
  <c r="I23" i="4"/>
  <c r="AQ22" i="4"/>
  <c r="AL22" i="4"/>
  <c r="AR22" i="4" s="1"/>
  <c r="AK22" i="4"/>
  <c r="Y22" i="4"/>
  <c r="X22" i="4"/>
  <c r="T22" i="4"/>
  <c r="V22" i="4" s="1"/>
  <c r="P22" i="4"/>
  <c r="W22" i="4" s="1"/>
  <c r="M22" i="4"/>
  <c r="N22" i="4" s="1"/>
  <c r="L22" i="4"/>
  <c r="I22" i="4"/>
  <c r="AQ21" i="4"/>
  <c r="AL21" i="4"/>
  <c r="AR21" i="4" s="1"/>
  <c r="AK21" i="4"/>
  <c r="X21" i="4"/>
  <c r="P21" i="4"/>
  <c r="W21" i="4" s="1"/>
  <c r="M21" i="4"/>
  <c r="N21" i="4" s="1"/>
  <c r="L21" i="4"/>
  <c r="I21" i="4"/>
  <c r="AQ20" i="4"/>
  <c r="AL20" i="4"/>
  <c r="AR20" i="4" s="1"/>
  <c r="AK20" i="4"/>
  <c r="P20" i="4"/>
  <c r="W20" i="4" s="1"/>
  <c r="O20" i="4"/>
  <c r="M20" i="4"/>
  <c r="N20" i="4" s="1"/>
  <c r="L20" i="4"/>
  <c r="I20" i="4"/>
  <c r="AQ19" i="4"/>
  <c r="AL19" i="4"/>
  <c r="AR19" i="4" s="1"/>
  <c r="AK19" i="4"/>
  <c r="P19" i="4"/>
  <c r="W19" i="4" s="1"/>
  <c r="O19" i="4"/>
  <c r="M19" i="4"/>
  <c r="N19" i="4" s="1"/>
  <c r="L19" i="4"/>
  <c r="I19" i="4"/>
  <c r="AQ18" i="4"/>
  <c r="AL18" i="4"/>
  <c r="AR18" i="4" s="1"/>
  <c r="AK18" i="4"/>
  <c r="P18" i="4"/>
  <c r="W18" i="4" s="1"/>
  <c r="O18" i="4"/>
  <c r="M18" i="4"/>
  <c r="N18" i="4" s="1"/>
  <c r="L18" i="4"/>
  <c r="I18" i="4"/>
  <c r="AQ17" i="4"/>
  <c r="AL17" i="4"/>
  <c r="AR17" i="4" s="1"/>
  <c r="AK17" i="4"/>
  <c r="AA17" i="4"/>
  <c r="Y17" i="4"/>
  <c r="X17" i="4"/>
  <c r="T17" i="4"/>
  <c r="Z17" i="4" s="1"/>
  <c r="P17" i="4"/>
  <c r="W17" i="4" s="1"/>
  <c r="O17" i="4"/>
  <c r="M17" i="4"/>
  <c r="N17" i="4" s="1"/>
  <c r="L17" i="4"/>
  <c r="I17" i="4"/>
  <c r="AQ16" i="4"/>
  <c r="AL16" i="4"/>
  <c r="AR16" i="4" s="1"/>
  <c r="AK16" i="4"/>
  <c r="Y16" i="4"/>
  <c r="X16" i="4"/>
  <c r="T16" i="4"/>
  <c r="P16" i="4"/>
  <c r="W16" i="4" s="1"/>
  <c r="O16" i="4"/>
  <c r="M16" i="4"/>
  <c r="N16" i="4" s="1"/>
  <c r="L16" i="4"/>
  <c r="I16" i="4"/>
  <c r="AQ15" i="4"/>
  <c r="AL15" i="4"/>
  <c r="AR15" i="4" s="1"/>
  <c r="AK15" i="4"/>
  <c r="AA15" i="4"/>
  <c r="Y15" i="4"/>
  <c r="X15" i="4"/>
  <c r="T15" i="4"/>
  <c r="Z15" i="4" s="1"/>
  <c r="P15" i="4"/>
  <c r="W15" i="4" s="1"/>
  <c r="O15" i="4"/>
  <c r="M15" i="4"/>
  <c r="N15" i="4" s="1"/>
  <c r="L15" i="4"/>
  <c r="I15" i="4"/>
  <c r="AQ14" i="4"/>
  <c r="AL14" i="4"/>
  <c r="AR14" i="4" s="1"/>
  <c r="AK14" i="4"/>
  <c r="P14" i="4"/>
  <c r="W14" i="4" s="1"/>
  <c r="O14" i="4"/>
  <c r="M14" i="4"/>
  <c r="N14" i="4" s="1"/>
  <c r="L14" i="4"/>
  <c r="I14" i="4"/>
  <c r="AQ13" i="4"/>
  <c r="AL13" i="4"/>
  <c r="AR13" i="4" s="1"/>
  <c r="AK13" i="4"/>
  <c r="P13" i="4"/>
  <c r="W13" i="4" s="1"/>
  <c r="O13" i="4"/>
  <c r="M13" i="4"/>
  <c r="N13" i="4" s="1"/>
  <c r="L13" i="4"/>
  <c r="I13" i="4"/>
  <c r="AQ12" i="4"/>
  <c r="AL12" i="4"/>
  <c r="AR12" i="4" s="1"/>
  <c r="AK12" i="4"/>
  <c r="X12" i="4"/>
  <c r="T12" i="4"/>
  <c r="Z12" i="4" s="1"/>
  <c r="P12" i="4"/>
  <c r="W12" i="4" s="1"/>
  <c r="O12" i="4"/>
  <c r="M12" i="4"/>
  <c r="N12" i="4" s="1"/>
  <c r="L12" i="4"/>
  <c r="I12" i="4"/>
  <c r="AQ11" i="4"/>
  <c r="AL11" i="4"/>
  <c r="AR11" i="4" s="1"/>
  <c r="AK11" i="4"/>
  <c r="AA11" i="4"/>
  <c r="T11" i="4"/>
  <c r="P11" i="4"/>
  <c r="W11" i="4" s="1"/>
  <c r="M11" i="4"/>
  <c r="AO11" i="4" s="1"/>
  <c r="L11" i="4"/>
  <c r="I11" i="4"/>
  <c r="AQ10" i="4"/>
  <c r="AL10" i="4"/>
  <c r="AR10" i="4" s="1"/>
  <c r="AK10" i="4"/>
  <c r="P10" i="4"/>
  <c r="W10" i="4" s="1"/>
  <c r="O10" i="4"/>
  <c r="M10" i="4"/>
  <c r="N10" i="4" s="1"/>
  <c r="L10" i="4"/>
  <c r="I10" i="4"/>
  <c r="AQ9" i="4"/>
  <c r="AL9" i="4"/>
  <c r="AR9" i="4" s="1"/>
  <c r="AK9" i="4"/>
  <c r="P9" i="4"/>
  <c r="W9" i="4" s="1"/>
  <c r="M9" i="4"/>
  <c r="AO9" i="4" s="1"/>
  <c r="L9" i="4"/>
  <c r="I9" i="4"/>
  <c r="AQ8" i="4"/>
  <c r="AL8" i="4"/>
  <c r="AR8" i="4" s="1"/>
  <c r="AK8" i="4"/>
  <c r="AA8" i="4"/>
  <c r="Y8" i="4"/>
  <c r="X8" i="4"/>
  <c r="T8" i="4"/>
  <c r="Z8" i="4" s="1"/>
  <c r="P8" i="4"/>
  <c r="W8" i="4" s="1"/>
  <c r="M8" i="4"/>
  <c r="N8" i="4" s="1"/>
  <c r="L8" i="4"/>
  <c r="I8" i="4"/>
  <c r="AQ7" i="4"/>
  <c r="AL7" i="4"/>
  <c r="AR7" i="4" s="1"/>
  <c r="AK7" i="4"/>
  <c r="P7" i="4"/>
  <c r="W7" i="4" s="1"/>
  <c r="O7" i="4"/>
  <c r="M7" i="4"/>
  <c r="N7" i="4" s="1"/>
  <c r="L7" i="4"/>
  <c r="I7" i="4"/>
  <c r="AQ6" i="4"/>
  <c r="AL6" i="4"/>
  <c r="AR6" i="4" s="1"/>
  <c r="AK6" i="4"/>
  <c r="X6" i="4"/>
  <c r="P6" i="4"/>
  <c r="W6" i="4" s="1"/>
  <c r="M6" i="4"/>
  <c r="N6" i="4" s="1"/>
  <c r="L6" i="4"/>
  <c r="I6" i="4"/>
  <c r="AQ5" i="4"/>
  <c r="AL5" i="4"/>
  <c r="AR5" i="4" s="1"/>
  <c r="AK5" i="4"/>
  <c r="X5" i="4"/>
  <c r="T5" i="4"/>
  <c r="Z5" i="4" s="1"/>
  <c r="P5" i="4"/>
  <c r="W5" i="4" s="1"/>
  <c r="O5" i="4"/>
  <c r="M5" i="4"/>
  <c r="N5" i="4" s="1"/>
  <c r="L5" i="4"/>
  <c r="I5" i="4"/>
  <c r="AQ4" i="4"/>
  <c r="AL4" i="4"/>
  <c r="AR4" i="4" s="1"/>
  <c r="AK4" i="4"/>
  <c r="X4" i="4"/>
  <c r="P4" i="4"/>
  <c r="W4" i="4" s="1"/>
  <c r="O4" i="4"/>
  <c r="M4" i="4"/>
  <c r="N4" i="4" s="1"/>
  <c r="L4" i="4"/>
  <c r="I4" i="4"/>
  <c r="AE1" i="4"/>
  <c r="AC1" i="4"/>
  <c r="AF1" i="4" s="1"/>
  <c r="Z1" i="4"/>
  <c r="Y14" i="3"/>
  <c r="X14" i="3"/>
  <c r="V14" i="3"/>
  <c r="U14" i="3"/>
  <c r="T14" i="3"/>
  <c r="P14" i="3"/>
  <c r="E11" i="2" s="1"/>
  <c r="O14" i="3"/>
  <c r="C11" i="2" s="1"/>
  <c r="D11" i="2" s="1"/>
  <c r="N14" i="3"/>
  <c r="M14" i="3"/>
  <c r="Z13" i="3"/>
  <c r="W13" i="3"/>
  <c r="S13" i="3"/>
  <c r="R13" i="3"/>
  <c r="Q13" i="3"/>
  <c r="Z12" i="3"/>
  <c r="W12" i="3"/>
  <c r="S12" i="3"/>
  <c r="R12" i="3"/>
  <c r="Q12" i="3"/>
  <c r="Z11" i="3"/>
  <c r="Z14" i="3" s="1"/>
  <c r="W11" i="3"/>
  <c r="S11" i="3"/>
  <c r="S14" i="3" s="1"/>
  <c r="R11" i="3"/>
  <c r="R14" i="3" s="1"/>
  <c r="Q11" i="3"/>
  <c r="K11" i="3"/>
  <c r="K14" i="3" s="1"/>
  <c r="V5" i="3"/>
  <c r="I15" i="2"/>
  <c r="G15" i="2"/>
  <c r="H15" i="2" s="1"/>
  <c r="J15" i="2" s="1"/>
  <c r="E15" i="2"/>
  <c r="C15" i="2"/>
  <c r="D15" i="2" s="1"/>
  <c r="I14" i="2"/>
  <c r="G14" i="2"/>
  <c r="H14" i="2" s="1"/>
  <c r="E14" i="2"/>
  <c r="C14" i="2"/>
  <c r="D14" i="2" s="1"/>
  <c r="I13" i="2"/>
  <c r="G13" i="2"/>
  <c r="H13" i="2" s="1"/>
  <c r="J13" i="2" s="1"/>
  <c r="E13" i="2"/>
  <c r="C13" i="2"/>
  <c r="D13" i="2" s="1"/>
  <c r="J11" i="2"/>
  <c r="I11" i="2"/>
  <c r="G11" i="2"/>
  <c r="C5" i="2"/>
  <c r="B5" i="2"/>
  <c r="D4" i="2"/>
  <c r="D3" i="2"/>
  <c r="AO31" i="4" l="1"/>
  <c r="AT31" i="4" s="1"/>
  <c r="AT38" i="4"/>
  <c r="W14" i="3"/>
  <c r="F15" i="2"/>
  <c r="F14" i="2"/>
  <c r="F13" i="2"/>
  <c r="D5" i="2"/>
  <c r="AO15" i="5"/>
  <c r="AT15" i="5" s="1"/>
  <c r="AO11" i="5"/>
  <c r="F11" i="2"/>
  <c r="AO16" i="5"/>
  <c r="AT16" i="5" s="1"/>
  <c r="AR11" i="5"/>
  <c r="Z17" i="5"/>
  <c r="V17" i="5"/>
  <c r="Z16" i="5"/>
  <c r="V16" i="5"/>
  <c r="Z14" i="5"/>
  <c r="V14" i="5"/>
  <c r="AO14" i="5"/>
  <c r="AT14" i="5" s="1"/>
  <c r="N14" i="5"/>
  <c r="Z13" i="5"/>
  <c r="V13" i="5"/>
  <c r="Z12" i="5"/>
  <c r="V12" i="5"/>
  <c r="Z11" i="5"/>
  <c r="V11" i="5"/>
  <c r="J14" i="2"/>
  <c r="V16" i="4"/>
  <c r="Z16" i="4"/>
  <c r="T6" i="4"/>
  <c r="Z6" i="4" s="1"/>
  <c r="X82" i="4"/>
  <c r="X86" i="4"/>
  <c r="Y80" i="4"/>
  <c r="X80" i="4"/>
  <c r="T25" i="4"/>
  <c r="Z25" i="4" s="1"/>
  <c r="T23" i="4"/>
  <c r="X23" i="4"/>
  <c r="T21" i="4"/>
  <c r="Z21" i="4" s="1"/>
  <c r="X7" i="4"/>
  <c r="T7" i="4"/>
  <c r="Z7" i="4" s="1"/>
  <c r="X13" i="4"/>
  <c r="Y25" i="4"/>
  <c r="Y4" i="4"/>
  <c r="T20" i="4"/>
  <c r="V20" i="4" s="1"/>
  <c r="T13" i="4"/>
  <c r="V13" i="4" s="1"/>
  <c r="T24" i="4"/>
  <c r="X24" i="4"/>
  <c r="Y18" i="4"/>
  <c r="Y14" i="4"/>
  <c r="T18" i="4"/>
  <c r="T14" i="4"/>
  <c r="Z14" i="4" s="1"/>
  <c r="AO7" i="4"/>
  <c r="AT7" i="4" s="1"/>
  <c r="V73" i="4"/>
  <c r="V47" i="4"/>
  <c r="Z91" i="4"/>
  <c r="V91" i="4"/>
  <c r="AO5" i="4"/>
  <c r="AT5" i="4" s="1"/>
  <c r="AO10" i="4"/>
  <c r="AT10" i="4" s="1"/>
  <c r="Z56" i="4"/>
  <c r="Y86" i="4"/>
  <c r="Q14" i="3"/>
  <c r="F5" i="2"/>
  <c r="Z86" i="4"/>
  <c r="V86" i="4"/>
  <c r="N33" i="4"/>
  <c r="V51" i="4"/>
  <c r="V74" i="4"/>
  <c r="AT24" i="4"/>
  <c r="AO37" i="4"/>
  <c r="AT37" i="4" s="1"/>
  <c r="V48" i="4"/>
  <c r="AO16" i="4"/>
  <c r="AT16" i="4" s="1"/>
  <c r="Y9" i="4"/>
  <c r="V40" i="4"/>
  <c r="Z44" i="4"/>
  <c r="X87" i="4"/>
  <c r="N31" i="4"/>
  <c r="Z47" i="4"/>
  <c r="AT33" i="4"/>
  <c r="V36" i="4"/>
  <c r="V46" i="4"/>
  <c r="V66" i="4"/>
  <c r="N26" i="4"/>
  <c r="AO35" i="4"/>
  <c r="AT35" i="4" s="1"/>
  <c r="X9" i="4"/>
  <c r="V11" i="4"/>
  <c r="V30" i="4"/>
  <c r="AT34" i="4"/>
  <c r="V68" i="4"/>
  <c r="Y87" i="4"/>
  <c r="X11" i="4"/>
  <c r="Z11" i="4"/>
  <c r="Y10" i="4"/>
  <c r="X20" i="4"/>
  <c r="T10" i="4"/>
  <c r="Z10" i="4" s="1"/>
  <c r="T19" i="4"/>
  <c r="Z19" i="4" s="1"/>
  <c r="X19" i="4"/>
  <c r="V10" i="4"/>
  <c r="V77" i="4"/>
  <c r="AO14" i="4"/>
  <c r="AT14" i="4" s="1"/>
  <c r="V15" i="4"/>
  <c r="N24" i="4"/>
  <c r="AO32" i="4"/>
  <c r="AT32" i="4" s="1"/>
  <c r="V35" i="4"/>
  <c r="V45" i="4"/>
  <c r="Z62" i="4"/>
  <c r="V69" i="4"/>
  <c r="V87" i="4"/>
  <c r="N34" i="4"/>
  <c r="V33" i="4"/>
  <c r="V27" i="4"/>
  <c r="V9" i="4"/>
  <c r="V4" i="4"/>
  <c r="V83" i="4"/>
  <c r="V49" i="4"/>
  <c r="V53" i="4"/>
  <c r="Z4" i="4"/>
  <c r="AO19" i="4"/>
  <c r="AT19" i="4" s="1"/>
  <c r="W23" i="4"/>
  <c r="AO30" i="4"/>
  <c r="AT30" i="4" s="1"/>
  <c r="V82" i="4"/>
  <c r="AO25" i="4"/>
  <c r="AT25" i="4" s="1"/>
  <c r="V58" i="4"/>
  <c r="V5" i="4"/>
  <c r="V26" i="4"/>
  <c r="V67" i="4"/>
  <c r="V75" i="4"/>
  <c r="V57" i="4"/>
  <c r="V63" i="4"/>
  <c r="AO12" i="4"/>
  <c r="AT12" i="4" s="1"/>
  <c r="V29" i="4"/>
  <c r="AT11" i="4"/>
  <c r="AO15" i="4"/>
  <c r="AT15" i="4" s="1"/>
  <c r="AO18" i="4"/>
  <c r="AT18" i="4" s="1"/>
  <c r="N28" i="4"/>
  <c r="V37" i="4"/>
  <c r="V70" i="4"/>
  <c r="AO8" i="4"/>
  <c r="AT8" i="4" s="1"/>
  <c r="AO17" i="4"/>
  <c r="AT17" i="4" s="1"/>
  <c r="AO27" i="4"/>
  <c r="AT27" i="4" s="1"/>
  <c r="Z48" i="4"/>
  <c r="Z79" i="4"/>
  <c r="AT9" i="4"/>
  <c r="AT11" i="5"/>
  <c r="AT26" i="4"/>
  <c r="AT28" i="4"/>
  <c r="N9" i="4"/>
  <c r="V31" i="4"/>
  <c r="N38" i="4"/>
  <c r="V55" i="4"/>
  <c r="V72" i="4"/>
  <c r="V78" i="4"/>
  <c r="V8" i="4"/>
  <c r="Z22" i="4"/>
  <c r="Z30" i="4"/>
  <c r="Z46" i="4"/>
  <c r="V54" i="4"/>
  <c r="Z57" i="4"/>
  <c r="V61" i="4"/>
  <c r="Z73" i="4"/>
  <c r="AO4" i="4"/>
  <c r="AT4" i="4" s="1"/>
  <c r="AO20" i="4"/>
  <c r="AT20" i="4" s="1"/>
  <c r="N11" i="4"/>
  <c r="AO21" i="4"/>
  <c r="AT21" i="4" s="1"/>
  <c r="V32" i="4"/>
  <c r="V43" i="4"/>
  <c r="V71" i="4"/>
  <c r="V17" i="4"/>
  <c r="AO22" i="4"/>
  <c r="AT22" i="4" s="1"/>
  <c r="AO36" i="4"/>
  <c r="AT36" i="4" s="1"/>
  <c r="V38" i="4"/>
  <c r="V42" i="4"/>
  <c r="V52" i="4"/>
  <c r="V60" i="4"/>
  <c r="V76" i="4"/>
  <c r="V90" i="4"/>
  <c r="AO13" i="4"/>
  <c r="AT13" i="4" s="1"/>
  <c r="AO29" i="4"/>
  <c r="AT29" i="4" s="1"/>
  <c r="AO6" i="4"/>
  <c r="AT6" i="4" s="1"/>
  <c r="AO23" i="4"/>
  <c r="AT23" i="4" s="1"/>
  <c r="V41" i="4"/>
  <c r="V65" i="4"/>
  <c r="V81" i="4"/>
  <c r="V39" i="4"/>
  <c r="V89" i="4"/>
  <c r="V28" i="4"/>
  <c r="V34" i="4"/>
  <c r="V50" i="4"/>
  <c r="V64" i="4"/>
  <c r="V80" i="4"/>
  <c r="V12" i="4"/>
  <c r="V59" i="4"/>
  <c r="Z18" i="4" l="1"/>
  <c r="V18" i="4"/>
  <c r="Z23" i="4"/>
  <c r="V23" i="4"/>
  <c r="Z24" i="4"/>
  <c r="V24" i="4"/>
  <c r="Z20" i="4"/>
  <c r="V19" i="4"/>
  <c r="Z13" i="4"/>
  <c r="V6" i="4"/>
  <c r="V7" i="4"/>
  <c r="V25" i="4"/>
  <c r="V21" i="4"/>
  <c r="V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V11" authorId="0" shapeId="0" xr:uid="{00000000-0006-0000-0200-000001000000}">
      <text>
        <r>
          <rPr>
            <sz val="10"/>
            <rFont val="Arial"/>
            <family val="2"/>
          </rPr>
          <t>Customer cage has been lost due to power module with high density racks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csm blr</author>
    <author>Vinoth Ramalingam</author>
  </authors>
  <commentList>
    <comment ref="J8" authorId="0" shapeId="0" xr:uid="{00000000-0006-0000-0300-000001000000}">
      <text>
        <r>
          <rPr>
            <sz val="10"/>
            <rFont val="Arial"/>
            <family val="2"/>
          </rPr>
          <t xml:space="preserve">Vinoth Ramalingam:
</t>
        </r>
        <r>
          <rPr>
            <sz val="9"/>
            <color rgb="FF000000"/>
            <rFont val="Tahoma"/>
            <family val="2"/>
            <charset val="1"/>
          </rPr>
          <t>18-08-2024 rack power on date</t>
        </r>
      </text>
    </comment>
    <comment ref="R15" authorId="0" shapeId="0" xr:uid="{00000000-0006-0000-0300-000002000000}">
      <text>
        <r>
          <rPr>
            <sz val="10"/>
            <rFont val="Arial"/>
            <family val="2"/>
          </rPr>
          <t xml:space="preserve">Vinoth Ramalingam:
</t>
        </r>
        <r>
          <rPr>
            <sz val="9"/>
            <color rgb="FF000000"/>
            <rFont val="Tahoma"/>
            <family val="2"/>
            <charset val="1"/>
          </rPr>
          <t>4 Racks ( 7 to 10) in each 5Kva : total=20KVA
4Racks : 8KVA in each + Additional rated power 1kva : Total = 33KVA
2racks : 8KVA in each+ Additional rated power 14KVA : Total = 30KVA</t>
        </r>
      </text>
    </comment>
    <comment ref="R22" authorId="0" shapeId="0" xr:uid="{00000000-0006-0000-0300-000003000000}">
      <text>
        <r>
          <rPr>
            <sz val="10"/>
            <rFont val="Arial"/>
            <family val="2"/>
          </rPr>
          <t xml:space="preserve">Vinoth Ramalingam:
</t>
        </r>
        <r>
          <rPr>
            <sz val="9"/>
            <color rgb="FF000000"/>
            <rFont val="Tahoma"/>
            <family val="2"/>
            <charset val="1"/>
          </rPr>
          <t>521005963: 1KVA additional power 27th MAR-24</t>
        </r>
      </text>
    </comment>
    <comment ref="J24" authorId="0" shapeId="0" xr:uid="{00000000-0006-0000-0300-000004000000}">
      <text>
        <r>
          <rPr>
            <sz val="10"/>
            <rFont val="Arial"/>
            <family val="2"/>
          </rPr>
          <t xml:space="preserve">Vinoth Ramalingam:
</t>
        </r>
        <r>
          <rPr>
            <sz val="9"/>
            <color rgb="FF000000"/>
            <rFont val="Tahoma"/>
            <family val="2"/>
            <charset val="1"/>
          </rPr>
          <t>20-04-2024 rack power on</t>
        </r>
      </text>
    </comment>
    <comment ref="J25" authorId="0" shapeId="0" xr:uid="{00000000-0006-0000-0300-000005000000}">
      <text>
        <r>
          <rPr>
            <sz val="10"/>
            <rFont val="Arial"/>
            <family val="2"/>
          </rPr>
          <t xml:space="preserve">Vinoth Ramalingam:
</t>
        </r>
        <r>
          <rPr>
            <sz val="9"/>
            <color rgb="FF000000"/>
            <rFont val="Tahoma"/>
            <family val="2"/>
            <charset val="1"/>
          </rPr>
          <t>2racks 800MM rack power on 3rd june 2025</t>
        </r>
      </text>
    </comment>
    <comment ref="O27" authorId="0" shapeId="0" xr:uid="{00000000-0006-0000-0300-000006000000}">
      <text>
        <r>
          <rPr>
            <sz val="10"/>
            <rFont val="Arial"/>
            <family val="2"/>
          </rPr>
          <t>1 USD = Rs 65</t>
        </r>
      </text>
    </comment>
    <comment ref="C28" authorId="0" shapeId="0" xr:uid="{00000000-0006-0000-0300-000007000000}">
      <text>
        <r>
          <rPr>
            <sz val="10"/>
            <rFont val="Arial"/>
            <family val="2"/>
          </rPr>
          <t>4 DID lines has been provided and billing paid by Admin.dotfinance Team</t>
        </r>
      </text>
    </comment>
    <comment ref="S28" authorId="0" shapeId="0" xr:uid="{00000000-0006-0000-0300-000008000000}">
      <text>
        <r>
          <rPr>
            <sz val="10"/>
            <rFont val="Arial"/>
            <family val="2"/>
          </rPr>
          <t xml:space="preserve">Informed to customer for regularize the power
</t>
        </r>
      </text>
    </comment>
    <comment ref="R29" authorId="0" shapeId="0" xr:uid="{00000000-0006-0000-0300-000009000000}">
      <text>
        <r>
          <rPr>
            <sz val="10"/>
            <rFont val="Arial"/>
            <family val="2"/>
          </rPr>
          <t>11 KVA (8+3) 
Rack downgrade (PO-18/19-20)
18/3/2020
521003914 - 2kva additional power .
Total power 9Kva.
521004091 - PO-030/23-24( 2kva Add power)  
Total 11KVA 
521006509: 1kva add power PO-032/24-25
Total Power: 12KVA</t>
        </r>
      </text>
    </comment>
    <comment ref="S29" authorId="0" shapeId="0" xr:uid="{00000000-0006-0000-0300-00000A000000}">
      <text>
        <r>
          <rPr>
            <sz val="10"/>
            <rFont val="Arial"/>
            <family val="2"/>
          </rPr>
          <t>8th Jan 2021 customer added 1 server,1 switch and 1 router.
After adding new device power utilization will be : 8.63 KVA and additional power approval taken from customer</t>
        </r>
      </text>
    </comment>
    <comment ref="K30" authorId="0" shapeId="0" xr:uid="{00000000-0006-0000-0300-00000B000000}">
      <text>
        <r>
          <rPr>
            <sz val="10"/>
            <rFont val="Arial"/>
            <family val="2"/>
          </rPr>
          <t xml:space="preserve">Vinoth Ramalingam:
</t>
        </r>
        <r>
          <rPr>
            <sz val="9"/>
            <color rgb="FF000000"/>
            <rFont val="Tahoma"/>
            <family val="2"/>
            <charset val="1"/>
          </rPr>
          <t>Jan 30 2022 customer new rack 600*1200 &amp; 600*1800 rack provisioned in CSR8&amp;9</t>
        </r>
      </text>
    </comment>
    <comment ref="M30" authorId="0" shapeId="0" xr:uid="{00000000-0006-0000-0300-00000C000000}">
      <text>
        <r>
          <rPr>
            <sz val="10"/>
            <rFont val="Arial"/>
            <family val="2"/>
          </rPr>
          <t>6+4+2+4 
8th Jan 18U space allocated in BSR 4</t>
        </r>
      </text>
    </comment>
    <comment ref="J31" authorId="0" shapeId="0" xr:uid="{00000000-0006-0000-0300-00000D000000}">
      <text>
        <r>
          <rPr>
            <sz val="10"/>
            <rFont val="Arial"/>
            <family val="2"/>
          </rPr>
          <t>6+4+2+4 
8th Jan 18U space allocated in BSR 4</t>
        </r>
      </text>
    </comment>
    <comment ref="R31" authorId="0" shapeId="0" xr:uid="{00000000-0006-0000-0300-00000E000000}">
      <text>
        <r>
          <rPr>
            <sz val="10"/>
            <rFont val="Arial"/>
            <family val="2"/>
          </rPr>
          <t>2.5 + addl 1.25 Kva+600Va for 1U +500Va
+3kva</t>
        </r>
      </text>
    </comment>
    <comment ref="S31" authorId="0" shapeId="0" xr:uid="{00000000-0006-0000-0300-00000F000000}">
      <text>
        <r>
          <rPr>
            <sz val="10"/>
            <rFont val="Arial"/>
            <family val="2"/>
          </rPr>
          <t>6/9/2019 two dell server has been added in rack
7/11/19 4 Dell servers has been added
10/12/2019 Cisco switch has been added
08/01/2021
1/2 rack space with 3 KVA power provision done and customer added 2 server and 1 Switch.
9th july 23 installed dell server 800W</t>
        </r>
      </text>
    </comment>
    <comment ref="M32" authorId="0" shapeId="0" xr:uid="{00000000-0006-0000-0300-000010000000}">
      <text>
        <r>
          <rPr>
            <sz val="10"/>
            <rFont val="Arial"/>
            <family val="2"/>
          </rPr>
          <t>3 racks with
1rack purchased on Jan 2022 so total rack is 4
Order Number:521002402
Rack Number: DSR3,DSR8 and DSR10.
DSR10 rack Power On date 25th Aug 2022.
DSR3 &amp; DSR8 rack power on date:12th Sep 2022.
Total 7 Racks
521004071 - 2rack with 12kva power.
521006028 - 1rack with 6kva power. ( DT:10-6-2024)
521006029 - 1rack with 6kva power. ( DT:10-6-2024)
521006636 - 1rack with 6KVA ( power on 1-10-2024) rack DSR 22</t>
        </r>
      </text>
    </comment>
    <comment ref="R32" authorId="0" shapeId="0" xr:uid="{00000000-0006-0000-0300-000011000000}">
      <text>
        <r>
          <rPr>
            <sz val="10"/>
            <rFont val="Arial"/>
            <family val="2"/>
          </rPr>
          <t xml:space="preserve">Bharath  Kumar.k:
</t>
        </r>
        <r>
          <rPr>
            <sz val="9"/>
            <color rgb="FF000000"/>
            <rFont val="Tahoma"/>
            <family val="2"/>
            <charset val="1"/>
          </rPr>
          <t>Down graded from 2 rack to 1 rack and power also 12 KVA purchased</t>
        </r>
      </text>
    </comment>
    <comment ref="J33" authorId="0" shapeId="0" xr:uid="{00000000-0006-0000-0300-000012000000}">
      <text>
        <r>
          <rPr>
            <sz val="10"/>
            <rFont val="Arial"/>
            <family val="2"/>
          </rPr>
          <t>3 racks with
1rack purchased on Jan 2022 so total rack is 4
Order Number:521002402
Rack Number: DSR3,DSR8 and DSR10.
DSR10 rack Power On date 25th Aug 2022.
DSR3 &amp; DSR8 rack power on date:12th Sep 2022.
Total 7 Racks
521004071 - 2rack with 12kva power.
521006028 - 1rack with 6kva power. ( DT:10-6-2024)
521006029 - 1rack with 6kva power. ( DT:10-6-2024)
521006636 - 1rack with 6KVA ( power on 1-10-2024) rack DSR 22</t>
        </r>
      </text>
    </comment>
    <comment ref="R33" authorId="0" shapeId="0" xr:uid="{00000000-0006-0000-0300-000013000000}">
      <text>
        <r>
          <rPr>
            <sz val="10"/>
            <rFont val="Arial"/>
            <family val="2"/>
          </rPr>
          <t>2 Racks = 12KVA (each rack 6 KVA + 3.75 KVA +4 KVA
Total = 19.75 KVA subscribed
1rack with 6 KVA power 2021
17th MAR 2021 additional 6KVA purchased 
Jan 2022 Customer Purchased 1 rack with 6KVA rated power.
Aug 22 (ORD NO 521002402) customer purchased 3 racks with 18KVA Power. total power
521003722 - 6KVA additional power order purchased on 18-5-2022.Total 61.75KVA.
521004071 - July-23 2rack with 12kva power total power is 73.75KVA
SO                              Rack                Power
521004071                 2                     12
721000759                 1                      3
721006649                                          4
721000243                                       3.5
521002402                  3                     18
521003722                                          6
121001108                  1                      6
SO                                 RACK            Power
521001975                                           3
521003726                                           6
521003900                                            6
521001718                      1                    6
521000554                      1                     6
521006028 - 1rack with 6kva power. ( DT:10-6-2024)
521006576 - 6KVA add power
521006576: 6KVA Additional Power hence total power is 
521006029 - 1rack with 6kva power. ( DT:10-6-2024)
521007315 : 6KVA additional power purchased 1st APR-25 total power 115.5KVA</t>
        </r>
      </text>
    </comment>
    <comment ref="S33" authorId="0" shapeId="0" xr:uid="{00000000-0006-0000-0300-000014000000}">
      <text>
        <r>
          <rPr>
            <sz val="10"/>
            <rFont val="Arial"/>
            <family val="2"/>
          </rPr>
          <t xml:space="preserve">New 1 Rack space provisioned and devices has been powered on(1.4 KVA rated power)  17th april 2020
Sep and Oct 2020 5 server has been added.
================
4th nov 2020 3 server with 250 watts each.
10th nov 2020 2 server with 500 watts each has been installed 
11th Dec 2020 customer removed 5 server having 250 watts power each
Device power verification done on 18th Jan 2022 and observed all racks rated power is 29KVA and mail has been sent to customer.
Apr-2022 new devices added in ESR 16, so power consumption is 39.58KVA.
June 2022 ESR 16 customer added Tyron device so current power utilization is 40.35
</t>
        </r>
      </text>
    </comment>
    <comment ref="M35" authorId="0" shapeId="0" xr:uid="{00000000-0006-0000-0300-000015000000}">
      <text>
        <r>
          <rPr>
            <sz val="10"/>
            <rFont val="Arial"/>
            <family val="2"/>
          </rPr>
          <t xml:space="preserve">Vinoth Ramalingam:
</t>
        </r>
        <r>
          <rPr>
            <sz val="9"/>
            <color rgb="FF000000"/>
            <rFont val="Tahoma"/>
            <family val="2"/>
            <charset val="1"/>
          </rPr>
          <t>Jan 2022 New rack purchased so total count 5(FSR9)
30-10-2023 fsr19 RACK POWER ON.
Total 7racks.</t>
        </r>
      </text>
    </comment>
    <comment ref="S35" authorId="0" shapeId="0" xr:uid="{00000000-0006-0000-0300-000016000000}">
      <text>
        <r>
          <rPr>
            <sz val="10"/>
            <rFont val="Arial"/>
            <family val="2"/>
          </rPr>
          <t>Sep_2020 Old device has been removed and new devices has been added
Jan 2022 customer removed and added few devices.</t>
        </r>
      </text>
    </comment>
    <comment ref="J36" authorId="0" shapeId="0" xr:uid="{00000000-0006-0000-0300-000017000000}">
      <text>
        <r>
          <rPr>
            <sz val="10"/>
            <rFont val="Arial"/>
            <family val="2"/>
          </rPr>
          <t xml:space="preserve">Vinoth Ramalingam:
</t>
        </r>
        <r>
          <rPr>
            <sz val="9"/>
            <color rgb="FF000000"/>
            <rFont val="Tahoma"/>
            <family val="2"/>
            <charset val="1"/>
          </rPr>
          <t>Jan 2022 New rack purchased so total count 5(FSR9)
30-10-2023 fsr19 RACK POWER ON.
Total 7racks.</t>
        </r>
      </text>
    </comment>
    <comment ref="R36" authorId="0" shapeId="0" xr:uid="{00000000-0006-0000-0300-000018000000}">
      <text>
        <r>
          <rPr>
            <sz val="10"/>
            <rFont val="Arial"/>
            <family val="2"/>
          </rPr>
          <t xml:space="preserve">9+2KVA additional
Additional PO received 11.53 
Total : 22.53
Additional 2KVA power PO received on 8th FEB 2021
8th FEB 2KVA additional power PO received
31-08-2021 2 KVA additional power  purchased </t>
        </r>
      </text>
    </comment>
    <comment ref="S36" authorId="0" shapeId="0" xr:uid="{00000000-0006-0000-0300-000019000000}">
      <text>
        <r>
          <rPr>
            <sz val="10"/>
            <rFont val="Arial"/>
            <family val="2"/>
          </rPr>
          <t>Revised PO for power received on 24th Dec 2019
16/6/2020 one server has been added
9th sep 2020 customer removed 2 HP server and added 3 HP server having 500W capacity each
28th Nov HP server  added(800W)</t>
        </r>
      </text>
    </comment>
    <comment ref="J37" authorId="0" shapeId="0" xr:uid="{00000000-0006-0000-0300-00001B000000}">
      <text>
        <r>
          <rPr>
            <sz val="10"/>
            <rFont val="Arial"/>
            <family val="2"/>
          </rPr>
          <t xml:space="preserve">13 U + 2U +2U+1U
Sep 2022 2U space termination order received from Customer and sever also outwarded.
</t>
        </r>
      </text>
    </comment>
    <comment ref="R37" authorId="0" shapeId="0" xr:uid="{00000000-0006-0000-0300-00001C000000}">
      <text>
        <r>
          <rPr>
            <sz val="10"/>
            <rFont val="Arial"/>
            <family val="2"/>
          </rPr>
          <t xml:space="preserve">3250 for 13 U + additional 2.87KVA + 500+500 + additional 190+750VA
Dec1-2023 customer removed 2servers. Total power utilization is 3.01kva
</t>
        </r>
      </text>
    </comment>
    <comment ref="S37" authorId="0" shapeId="0" xr:uid="{00000000-0006-0000-0300-00001D000000}">
      <text>
        <r>
          <rPr>
            <sz val="10"/>
            <rFont val="Arial"/>
            <family val="2"/>
          </rPr>
          <t>partial services of 4U  termination is in progress
04th Jan 2020 customer 2 server has been removed after that rated power will be  : 4.93 KVA</t>
        </r>
      </text>
    </comment>
    <comment ref="J38" authorId="0" shapeId="0" xr:uid="{00000000-0006-0000-0300-00001E000000}">
      <text>
        <r>
          <rPr>
            <sz val="10"/>
            <rFont val="Arial"/>
            <family val="2"/>
          </rPr>
          <t xml:space="preserve">Vinoth Ramalingam:
</t>
        </r>
        <r>
          <rPr>
            <sz val="9"/>
            <color rgb="FF000000"/>
            <rFont val="Tahoma"/>
            <family val="2"/>
            <charset val="1"/>
          </rPr>
          <t>11th MAR 2025 new rack power on total rack count 2</t>
        </r>
      </text>
    </comment>
    <comment ref="R38" authorId="0" shapeId="0" xr:uid="{00000000-0006-0000-0300-00001F000000}">
      <text>
        <r>
          <rPr>
            <sz val="10"/>
            <rFont val="Arial"/>
            <family val="2"/>
          </rPr>
          <t xml:space="preserve">Vinoth Ramalingam:
</t>
        </r>
        <r>
          <rPr>
            <sz val="9"/>
            <color rgb="FF000000"/>
            <rFont val="Tahoma"/>
            <family val="2"/>
            <charset val="1"/>
          </rPr>
          <t>PO Number &amp; Date : IA/ITG/2021/10/22/01 – 20th Oct 2021  Additional 6KVA Rated power.
521005966: 3KVA Additional power.
521007092 : 1 Rack with 3KVA Power total power is 18KVA</t>
        </r>
      </text>
    </comment>
    <comment ref="S38" authorId="0" shapeId="0" xr:uid="{00000000-0006-0000-0300-000020000000}">
      <text>
        <r>
          <rPr>
            <sz val="10"/>
            <rFont val="Arial"/>
            <family val="2"/>
          </rPr>
          <t xml:space="preserve">Vinoth Ramalingam:
</t>
        </r>
        <r>
          <rPr>
            <sz val="9"/>
            <color rgb="FF000000"/>
            <rFont val="Tahoma"/>
            <family val="2"/>
            <charset val="1"/>
          </rPr>
          <t>June 2022 customer added new devices hence power consumption is 16.64KVA.</t>
        </r>
      </text>
    </comment>
    <comment ref="J39" authorId="0" shapeId="0" xr:uid="{00000000-0006-0000-0300-000021000000}">
      <text>
        <r>
          <rPr>
            <sz val="10"/>
            <rFont val="Arial"/>
            <family val="2"/>
          </rPr>
          <t>Additional 1U taken
521003388 - 2U total Uspace 8
3U Terminated, so total U space is 5U
521006875: 4U space</t>
        </r>
      </text>
    </comment>
    <comment ref="M39" authorId="0" shapeId="0" xr:uid="{00000000-0006-0000-0300-000022000000}">
      <text>
        <r>
          <rPr>
            <sz val="10"/>
            <rFont val="Arial"/>
            <family val="2"/>
          </rPr>
          <t xml:space="preserve">Vinoth Ramalingam:
</t>
        </r>
        <r>
          <rPr>
            <sz val="9"/>
            <color rgb="FF000000"/>
            <rFont val="Tahoma"/>
            <family val="2"/>
            <charset val="1"/>
          </rPr>
          <t>21st FEB 2021 customer purchased new 1 rack , so 4+1=5 
20th July customer disconnected 1 600*1000MM rack and power</t>
        </r>
      </text>
    </comment>
    <comment ref="R39" authorId="0" shapeId="0" xr:uid="{00000000-0006-0000-0300-000023000000}">
      <text>
        <r>
          <rPr>
            <sz val="10"/>
            <rFont val="Arial"/>
            <family val="2"/>
          </rPr>
          <t>500+250VA additional power with 1U
521006875: 1KVA power</t>
        </r>
      </text>
    </comment>
    <comment ref="J40" authorId="0" shapeId="0" xr:uid="{00000000-0006-0000-0300-000024000000}">
      <text>
        <r>
          <rPr>
            <sz val="10"/>
            <rFont val="Arial"/>
            <family val="2"/>
          </rPr>
          <t xml:space="preserve">Vinoth Ramalingam:
</t>
        </r>
        <r>
          <rPr>
            <sz val="9"/>
            <color rgb="FF000000"/>
            <rFont val="Tahoma"/>
            <family val="2"/>
            <charset val="1"/>
          </rPr>
          <t>21st FEB 2021 customer purchased new 1 rack , so 4+1=5 
20th July customer disconnected 1 600*1000MM rack and power</t>
        </r>
      </text>
    </comment>
    <comment ref="M40" authorId="0" shapeId="0" xr:uid="{00000000-0006-0000-0300-000025000000}">
      <text>
        <r>
          <rPr>
            <sz val="10"/>
            <rFont val="Arial"/>
            <family val="2"/>
          </rPr>
          <t xml:space="preserve">Vinoth Ramalingam:
</t>
        </r>
        <r>
          <rPr>
            <sz val="9"/>
            <color rgb="FF000000"/>
            <rFont val="Tahoma"/>
            <family val="2"/>
            <charset val="1"/>
          </rPr>
          <t>521005028 - ESR15 rack power date 12-3-2024 hence rack count 2</t>
        </r>
      </text>
    </comment>
    <comment ref="R40" authorId="0" shapeId="0" xr:uid="{00000000-0006-0000-0300-000026000000}">
      <text>
        <r>
          <rPr>
            <sz val="10"/>
            <rFont val="Arial"/>
            <family val="2"/>
          </rPr>
          <t>Additional power 4KVA per rack removed
Additional 1 Rack with 8KVA power purchased on  MAR 2nd 2021
As per PO:4200008680 Purchased power is 23KVA
521006730: Add 10KVA power purchased on 11th SEP 2024 total power 33KVA</t>
        </r>
      </text>
    </comment>
    <comment ref="S40" authorId="0" shapeId="0" xr:uid="{00000000-0006-0000-0300-000027000000}">
      <text>
        <r>
          <rPr>
            <sz val="10"/>
            <rFont val="Arial"/>
            <family val="2"/>
          </rPr>
          <t xml:space="preserve">A10 thunder 1040 2 devices has been added on July 30th and powered on
Temporary purpose customer power on new HP encloser in new CTR 1 rack and device power consumption is 2650W
20th July 2021 customer disconnected 1 rack and powered off the devices.
Sep 2022 customer installed new device hence power value is 18.40KVA.
</t>
        </r>
      </text>
    </comment>
    <comment ref="J41" authorId="0" shapeId="0" xr:uid="{00000000-0006-0000-0300-000028000000}">
      <text>
        <r>
          <rPr>
            <sz val="10"/>
            <rFont val="Arial"/>
            <family val="2"/>
          </rPr>
          <t xml:space="preserve">Vinoth Ramalingam:
</t>
        </r>
        <r>
          <rPr>
            <sz val="9"/>
            <color rgb="FF000000"/>
            <rFont val="Tahoma"/>
            <family val="2"/>
            <charset val="1"/>
          </rPr>
          <t>521005028 - ESR15 rack power date 12-3-2024 hence rack count 2
APR-25 customer disconnected 1 rack hence rack count is 1.</t>
        </r>
      </text>
    </comment>
    <comment ref="M41" authorId="0" shapeId="0" xr:uid="{00000000-0006-0000-0300-000029000000}">
      <text>
        <r>
          <rPr>
            <sz val="10"/>
            <rFont val="Arial"/>
            <family val="2"/>
          </rPr>
          <t xml:space="preserve">Vinoth Ramalingam:
</t>
        </r>
        <r>
          <rPr>
            <sz val="9"/>
            <color rgb="FF000000"/>
            <rFont val="Tahoma"/>
            <family val="2"/>
            <charset val="1"/>
          </rPr>
          <t>10-5-2024 customer 1/2 rack power ON.
Waiting for PO &amp; SO.</t>
        </r>
      </text>
    </comment>
    <comment ref="R41" authorId="0" shapeId="0" xr:uid="{00000000-0006-0000-0300-00002A000000}">
      <text>
        <r>
          <rPr>
            <sz val="10"/>
            <rFont val="Arial"/>
            <family val="2"/>
          </rPr>
          <t xml:space="preserve">Vinoth Ramalingam:
</t>
        </r>
        <r>
          <rPr>
            <sz val="9"/>
            <color rgb="FF000000"/>
            <rFont val="Tahoma"/>
            <family val="2"/>
            <charset val="1"/>
          </rPr>
          <t>521005028 : 4KVA Power, hence total purchased power is 9KVA</t>
        </r>
      </text>
    </comment>
    <comment ref="S41" authorId="0" shapeId="0" xr:uid="{00000000-0006-0000-0300-00002B000000}">
      <text>
        <r>
          <rPr>
            <sz val="10"/>
            <rFont val="Arial"/>
            <family val="2"/>
          </rPr>
          <t>Customer is installed new devices in ESAB rack on 13th March 2020(After adding power utilization is 7.23)</t>
        </r>
      </text>
    </comment>
    <comment ref="J42" authorId="0" shapeId="0" xr:uid="{00000000-0006-0000-0300-00002C000000}">
      <text>
        <r>
          <rPr>
            <sz val="10"/>
            <rFont val="Arial"/>
            <family val="2"/>
          </rPr>
          <t xml:space="preserve">Vinoth Ramalingam:
</t>
        </r>
        <r>
          <rPr>
            <sz val="9"/>
            <color rgb="FF000000"/>
            <rFont val="Tahoma"/>
            <family val="2"/>
            <charset val="1"/>
          </rPr>
          <t>10-5-2024 customer 1/2 rack power ON.
Waiting for PO &amp; SO.</t>
        </r>
      </text>
    </comment>
    <comment ref="R42" authorId="0" shapeId="0" xr:uid="{00000000-0006-0000-0300-00002D000000}">
      <text>
        <r>
          <rPr>
            <sz val="10"/>
            <rFont val="Arial"/>
            <family val="2"/>
          </rPr>
          <t xml:space="preserve">
Provision of 2 Dedicated Rack Space to 
accommodate standard 42-U rack with 
600 mm width and 1200 mm depth. 
• Single phase rated power of 3 KVA per 
rack 
• Additional Rated power of 8 KVA, 
hence total allocation of 6KVA + 8KVA 
= 14 KVA for 2 Racks
FEB 2022 Customer purchased 1/2 rack with 3.5KVA Power hence total power utilization is 17.5KVA
5th APRIL 2022 Customer purchased 8KVA Power
521003888 - Additional rated power 30KVA. total power is 37.5KVA
</t>
        </r>
      </text>
    </comment>
    <comment ref="S42" authorId="0" shapeId="0" xr:uid="{00000000-0006-0000-0300-00002E000000}">
      <text>
        <r>
          <rPr>
            <sz val="10"/>
            <rFont val="Arial"/>
            <family val="2"/>
          </rPr>
          <t>21st oct 2020 new dell server has been added having 1600 watts of rated power.
May-2022 New Dell Power store device added power capacity is 1450Watts
Sep 2022 Customer installaed new device in DSR15 hence power consumption is 28.89KVA.</t>
        </r>
      </text>
    </comment>
    <comment ref="S44" authorId="0" shapeId="0" xr:uid="{00000000-0006-0000-0300-00002F000000}">
      <text>
        <r>
          <rPr>
            <sz val="10"/>
            <rFont val="Arial"/>
            <family val="2"/>
          </rPr>
          <t>UPPCL additional power cabling has been done on 4th sep_2020 and ne HP device has been added on same day next month onwards power utilization will be 7.92 KVA
Informed to customer to regularize the rated power</t>
        </r>
      </text>
    </comment>
    <comment ref="S45" authorId="0" shapeId="0" xr:uid="{00000000-0006-0000-0300-000030000000}">
      <text>
        <r>
          <rPr>
            <sz val="10"/>
            <rFont val="Arial"/>
            <family val="2"/>
          </rPr>
          <t>15/12/2019 cisco device has been added</t>
        </r>
      </text>
    </comment>
    <comment ref="S48" authorId="0" shapeId="0" xr:uid="{00000000-0006-0000-0300-000031000000}">
      <text>
        <r>
          <rPr>
            <sz val="10"/>
            <rFont val="Arial"/>
            <family val="2"/>
          </rPr>
          <t xml:space="preserve">New device added on April
</t>
        </r>
      </text>
    </comment>
    <comment ref="M51" authorId="0" shapeId="0" xr:uid="{00000000-0006-0000-0300-000032000000}">
      <text>
        <r>
          <rPr>
            <sz val="10"/>
            <rFont val="Arial"/>
            <family val="2"/>
          </rPr>
          <t xml:space="preserve">Vinoth Ramalingam:
</t>
        </r>
        <r>
          <rPr>
            <sz val="9"/>
            <color rgb="FF000000"/>
            <rFont val="Tahoma"/>
            <family val="2"/>
            <charset val="1"/>
          </rPr>
          <t>Sify/PBGB/2023/06 Dated 11.07.2023</t>
        </r>
      </text>
    </comment>
    <comment ref="R54" authorId="0" shapeId="0" xr:uid="{00000000-0006-0000-0300-000033000000}">
      <text>
        <r>
          <rPr>
            <sz val="10"/>
            <rFont val="Arial"/>
            <family val="2"/>
          </rPr>
          <t xml:space="preserve">Vinoth Ramalingam:
</t>
        </r>
        <r>
          <rPr>
            <sz val="9"/>
            <color rgb="FF000000"/>
            <rFont val="Tahoma"/>
            <family val="2"/>
            <charset val="1"/>
          </rPr>
          <t>20th June 2021 8KVA power purchased along with 1 rack.( Order removed in system)
Based on this PO:230401378(521002518) Half rack along with 4 KVA power has been proviosioned</t>
        </r>
      </text>
    </comment>
    <comment ref="S54" authorId="0" shapeId="0" xr:uid="{00000000-0006-0000-0300-000034000000}">
      <text>
        <r>
          <rPr>
            <sz val="10"/>
            <rFont val="Arial"/>
            <family val="2"/>
          </rPr>
          <t xml:space="preserve">Vinoth Ramalingam:
</t>
        </r>
        <r>
          <rPr>
            <sz val="9"/>
            <color rgb="FF000000"/>
            <rFont val="Tahoma"/>
            <family val="2"/>
            <charset val="1"/>
          </rPr>
          <t>Feb 8th 2022 customer power off the BSR 6 so power utilization is 4.64KVA</t>
        </r>
      </text>
    </comment>
    <comment ref="C56" authorId="0" shapeId="0" xr:uid="{00000000-0006-0000-0300-000035000000}">
      <text>
        <r>
          <rPr>
            <sz val="10"/>
            <rFont val="Arial"/>
            <family val="2"/>
          </rPr>
          <t>New DC hosted cloud customer So need to inform regularize the power</t>
        </r>
      </text>
    </comment>
    <comment ref="S56" authorId="0" shapeId="0" xr:uid="{00000000-0006-0000-0300-000036000000}">
      <text>
        <r>
          <rPr>
            <sz val="10"/>
            <rFont val="Arial"/>
            <family val="2"/>
          </rPr>
          <t>IBM devices rated power wrogly mentioned in old power inventory
3 IBM device power on 27th FEB 2021 device power : 2.98KV</t>
        </r>
      </text>
    </comment>
    <comment ref="R57" authorId="0" shapeId="0" xr:uid="{00000000-0006-0000-0300-000037000000}">
      <text>
        <r>
          <rPr>
            <sz val="10"/>
            <rFont val="Arial"/>
            <family val="2"/>
          </rPr>
          <t>additional power of 722 VA cost 28,855</t>
        </r>
      </text>
    </comment>
    <comment ref="S58" authorId="0" shapeId="0" xr:uid="{00000000-0006-0000-0300-000038000000}">
      <text>
        <r>
          <rPr>
            <sz val="10"/>
            <rFont val="Arial"/>
            <family val="2"/>
          </rPr>
          <t xml:space="preserve">Rack stack and power on has been done on 14th June 2020
</t>
        </r>
      </text>
    </comment>
    <comment ref="C59" authorId="0" shapeId="0" xr:uid="{00000000-0006-0000-0300-000039000000}">
      <text>
        <r>
          <rPr>
            <sz val="10"/>
            <rFont val="Arial"/>
            <family val="2"/>
          </rPr>
          <t>30th Dec 2020 devices has been powered on</t>
        </r>
      </text>
    </comment>
    <comment ref="S59" authorId="0" shapeId="0" xr:uid="{00000000-0006-0000-0300-00003A000000}">
      <text>
        <r>
          <rPr>
            <sz val="10"/>
            <rFont val="Arial"/>
            <family val="2"/>
          </rPr>
          <t xml:space="preserve">Rack stack and power on has been done on 14th June 2020
</t>
        </r>
      </text>
    </comment>
    <comment ref="S60" authorId="0" shapeId="0" xr:uid="{00000000-0006-0000-0300-00003D000000}">
      <text>
        <r>
          <rPr>
            <sz val="10"/>
            <rFont val="Arial"/>
            <family val="2"/>
          </rPr>
          <t>Devices rack mounted and powered on 25th feb 2021</t>
        </r>
      </text>
    </comment>
    <comment ref="J61" authorId="0" shapeId="0" xr:uid="{00000000-0006-0000-0300-00003E000000}">
      <text>
        <r>
          <rPr>
            <sz val="10"/>
            <rFont val="Arial"/>
            <family val="2"/>
          </rPr>
          <t xml:space="preserve">Vinoth Ramalingam:
</t>
        </r>
        <r>
          <rPr>
            <sz val="9"/>
            <color rgb="FF000000"/>
            <rFont val="Tahoma"/>
            <family val="2"/>
            <charset val="1"/>
          </rPr>
          <t>20-08-2021 device power ON</t>
        </r>
      </text>
    </comment>
    <comment ref="S61" authorId="0" shapeId="0" xr:uid="{00000000-0006-0000-0300-00003F000000}">
      <text>
        <r>
          <rPr>
            <sz val="10"/>
            <rFont val="Arial"/>
            <family val="2"/>
          </rPr>
          <t>Customer devices rack stack and powered on 20-08-2021</t>
        </r>
      </text>
    </comment>
    <comment ref="J62" authorId="0" shapeId="0" xr:uid="{00000000-0006-0000-0300-000040000000}">
      <text>
        <r>
          <rPr>
            <sz val="10"/>
            <rFont val="Arial"/>
            <family val="2"/>
          </rPr>
          <t xml:space="preserve">Vinoth Ramalingam:
</t>
        </r>
        <r>
          <rPr>
            <sz val="9"/>
            <color rgb="FF000000"/>
            <rFont val="Tahoma"/>
            <family val="2"/>
            <charset val="1"/>
          </rPr>
          <t>20-08-2021 device power ON</t>
        </r>
      </text>
    </comment>
    <comment ref="S62" authorId="0" shapeId="0" xr:uid="{00000000-0006-0000-0300-000041000000}">
      <text>
        <r>
          <rPr>
            <sz val="10"/>
            <rFont val="Arial"/>
            <family val="2"/>
          </rPr>
          <t>Customer devices rack stack and powered on 28-08-2021</t>
        </r>
      </text>
    </comment>
    <comment ref="M63" authorId="0" shapeId="0" xr:uid="{00000000-0006-0000-0300-000042000000}">
      <text>
        <r>
          <rPr>
            <sz val="10"/>
            <rFont val="Arial"/>
            <family val="2"/>
          </rPr>
          <t xml:space="preserve">Vinoth Ramalingam:
</t>
        </r>
        <r>
          <rPr>
            <sz val="9"/>
            <color rgb="FF000000"/>
            <rFont val="Tahoma"/>
            <family val="2"/>
            <charset val="1"/>
          </rPr>
          <t>20-08-2021 device power ON</t>
        </r>
      </text>
    </comment>
    <comment ref="S63" authorId="0" shapeId="0" xr:uid="{00000000-0006-0000-0300-000043000000}">
      <text>
        <r>
          <rPr>
            <sz val="10"/>
            <rFont val="Arial"/>
            <family val="2"/>
          </rPr>
          <t>Devices rack mounted and powered on 12th Jan 2020
Microscan 2 devices power off on Aug 2021</t>
        </r>
      </text>
    </comment>
    <comment ref="J64" authorId="0" shapeId="0" xr:uid="{00000000-0006-0000-0300-000044000000}">
      <text>
        <r>
          <rPr>
            <sz val="10"/>
            <rFont val="Arial"/>
            <family val="2"/>
          </rPr>
          <t xml:space="preserve">Vinoth Ramalingam:
</t>
        </r>
        <r>
          <rPr>
            <sz val="9"/>
            <color rgb="FF000000"/>
            <rFont val="Tahoma"/>
            <family val="2"/>
            <charset val="1"/>
          </rPr>
          <t>31st Aug 2021 2 U + 500VA Purchased.
Jan 2023 1 U + 250VA purchased.</t>
        </r>
      </text>
    </comment>
    <comment ref="R64" authorId="0" shapeId="0" xr:uid="{00000000-0006-0000-0300-000045000000}">
      <text>
        <r>
          <rPr>
            <sz val="10"/>
            <rFont val="Arial"/>
            <family val="2"/>
          </rPr>
          <t xml:space="preserve">Vinoth Ramalingam:
</t>
        </r>
        <r>
          <rPr>
            <sz val="9"/>
            <color rgb="FF000000"/>
            <rFont val="Tahoma"/>
            <family val="2"/>
            <charset val="1"/>
          </rPr>
          <t>Order Number Space Power
521001029 2 U  500VA
521003275 1U  250VA
521003878  250VA
  1000VA</t>
        </r>
      </text>
    </comment>
    <comment ref="S64" authorId="0" shapeId="0" xr:uid="{00000000-0006-0000-0300-000046000000}">
      <text>
        <r>
          <rPr>
            <sz val="10"/>
            <rFont val="Arial"/>
            <family val="2"/>
          </rPr>
          <t>18th feb 2022 rack power on.
Apr-23 new HP 360 Gen 10 server power on hence 1.38Kva</t>
        </r>
      </text>
    </comment>
    <comment ref="J65" authorId="0" shapeId="0" xr:uid="{00000000-0006-0000-0300-000047000000}">
      <text>
        <r>
          <rPr>
            <sz val="10"/>
            <rFont val="Arial"/>
            <family val="2"/>
          </rPr>
          <t xml:space="preserve">Vinoth Ramalingam:
</t>
        </r>
        <r>
          <rPr>
            <sz val="9"/>
            <color rgb="FF000000"/>
            <rFont val="Tahoma"/>
            <family val="2"/>
            <charset val="1"/>
          </rPr>
          <t>11th APRIL 2022 rack powered on.</t>
        </r>
      </text>
    </comment>
    <comment ref="R65" authorId="0" shapeId="0" xr:uid="{00000000-0006-0000-0300-000048000000}">
      <text>
        <r>
          <rPr>
            <sz val="10"/>
            <rFont val="Arial"/>
            <family val="2"/>
          </rPr>
          <t xml:space="preserve">Vinoth Ramalingam:
</t>
        </r>
        <r>
          <rPr>
            <sz val="9"/>
            <color rgb="FF000000"/>
            <rFont val="Tahoma"/>
            <family val="2"/>
            <charset val="1"/>
          </rPr>
          <t>Order Number Space Power
521001029 2 U  500VA
521003275 1U  250VA
521003878  250VA
  1000VA</t>
        </r>
      </text>
    </comment>
    <comment ref="S65" authorId="0" shapeId="0" xr:uid="{00000000-0006-0000-0300-000049000000}">
      <text>
        <r>
          <rPr>
            <sz val="10"/>
            <rFont val="Arial"/>
            <family val="2"/>
          </rPr>
          <t>Customer devices rack stack and powered on 20-08-2021</t>
        </r>
      </text>
    </comment>
    <comment ref="J66" authorId="0" shapeId="0" xr:uid="{00000000-0006-0000-0300-00004A000000}">
      <text>
        <r>
          <rPr>
            <sz val="10"/>
            <rFont val="Arial"/>
            <family val="2"/>
          </rPr>
          <t xml:space="preserve">Vinoth Ramalingam:
</t>
        </r>
        <r>
          <rPr>
            <sz val="9"/>
            <color rgb="FF000000"/>
            <rFont val="Tahoma"/>
            <family val="2"/>
            <charset val="1"/>
          </rPr>
          <t>Rack Power on date is 08-07-2022</t>
        </r>
      </text>
    </comment>
    <comment ref="M66" authorId="0" shapeId="0" xr:uid="{00000000-0006-0000-0300-00004B000000}">
      <text>
        <r>
          <rPr>
            <sz val="10"/>
            <rFont val="Arial"/>
            <family val="2"/>
          </rPr>
          <t xml:space="preserve">Vinoth Ramalingam:
</t>
        </r>
        <r>
          <rPr>
            <sz val="9"/>
            <color rgb="FF000000"/>
            <rFont val="Tahoma"/>
            <family val="2"/>
            <charset val="1"/>
          </rPr>
          <t>31st Aug 2021 2 U + 500VA Purchased.
Jan 2023 1 U + 250VA purchased.</t>
        </r>
      </text>
    </comment>
    <comment ref="S66" authorId="0" shapeId="0" xr:uid="{00000000-0006-0000-0300-00004C000000}">
      <text>
        <r>
          <rPr>
            <sz val="10"/>
            <rFont val="Arial"/>
            <family val="2"/>
          </rPr>
          <t xml:space="preserve">New device added on April
</t>
        </r>
      </text>
    </comment>
    <comment ref="J67" authorId="0" shapeId="0" xr:uid="{00000000-0006-0000-0300-00004D000000}">
      <text>
        <r>
          <rPr>
            <sz val="10"/>
            <rFont val="Arial"/>
            <family val="2"/>
          </rPr>
          <t xml:space="preserve">Vinoth Ramalingam:
</t>
        </r>
        <r>
          <rPr>
            <sz val="9"/>
            <color rgb="FF000000"/>
            <rFont val="Tahoma"/>
            <family val="2"/>
            <charset val="1"/>
          </rPr>
          <t>power on 05-07-2022</t>
        </r>
      </text>
    </comment>
    <comment ref="M67" authorId="0" shapeId="0" xr:uid="{00000000-0006-0000-0300-00004E000000}">
      <text>
        <r>
          <rPr>
            <sz val="10"/>
            <rFont val="Arial"/>
            <family val="2"/>
          </rPr>
          <t xml:space="preserve">Vinoth Ramalingam:
</t>
        </r>
        <r>
          <rPr>
            <sz val="9"/>
            <color rgb="FF000000"/>
            <rFont val="Tahoma"/>
            <family val="2"/>
            <charset val="1"/>
          </rPr>
          <t>11th APRIL 2022 rack powered on.</t>
        </r>
      </text>
    </comment>
    <comment ref="S67" authorId="0" shapeId="0" xr:uid="{00000000-0006-0000-0300-00004F000000}">
      <text>
        <r>
          <rPr>
            <sz val="10"/>
            <rFont val="Arial"/>
            <family val="2"/>
          </rPr>
          <t xml:space="preserve">New device added on April
</t>
        </r>
      </text>
    </comment>
    <comment ref="J68" authorId="0" shapeId="0" xr:uid="{00000000-0006-0000-0300-000050000000}">
      <text>
        <r>
          <rPr>
            <sz val="10"/>
            <rFont val="Arial"/>
            <family val="2"/>
          </rPr>
          <t xml:space="preserve">Vinoth Ramalingam:
</t>
        </r>
        <r>
          <rPr>
            <sz val="9"/>
            <color rgb="FF000000"/>
            <rFont val="Tahoma"/>
            <family val="2"/>
            <charset val="1"/>
          </rPr>
          <t>power on 05-07-2022</t>
        </r>
      </text>
    </comment>
    <comment ref="M68" authorId="0" shapeId="0" xr:uid="{00000000-0006-0000-0300-000051000000}">
      <text>
        <r>
          <rPr>
            <sz val="10"/>
            <rFont val="Arial"/>
            <family val="2"/>
          </rPr>
          <t xml:space="preserve">Vinoth Ramalingam:
</t>
        </r>
        <r>
          <rPr>
            <sz val="9"/>
            <color rgb="FF000000"/>
            <rFont val="Tahoma"/>
            <family val="2"/>
            <charset val="1"/>
          </rPr>
          <t>Rack Power on date is 08-07-2022</t>
        </r>
      </text>
    </comment>
    <comment ref="S68" authorId="0" shapeId="0" xr:uid="{00000000-0006-0000-0300-000052000000}">
      <text>
        <r>
          <rPr>
            <sz val="10"/>
            <rFont val="Arial"/>
            <family val="2"/>
          </rPr>
          <t xml:space="preserve">New device added on April
</t>
        </r>
      </text>
    </comment>
    <comment ref="J69" authorId="0" shapeId="0" xr:uid="{00000000-0006-0000-0300-000053000000}">
      <text>
        <r>
          <rPr>
            <sz val="10"/>
            <rFont val="Arial"/>
            <family val="2"/>
          </rPr>
          <t xml:space="preserve">Vinoth Ramalingam:
</t>
        </r>
        <r>
          <rPr>
            <sz val="9"/>
            <color rgb="FF000000"/>
            <rFont val="Tahoma"/>
            <family val="2"/>
            <charset val="1"/>
          </rPr>
          <t>521003975 - 1st FEB-23 2 rack along with 12 kva power proviosioned.</t>
        </r>
      </text>
    </comment>
    <comment ref="M69" authorId="0" shapeId="0" xr:uid="{00000000-0006-0000-0300-000054000000}">
      <text>
        <r>
          <rPr>
            <sz val="10"/>
            <rFont val="Arial"/>
            <family val="2"/>
          </rPr>
          <t xml:space="preserve">Vinoth Ramalingam:
</t>
        </r>
        <r>
          <rPr>
            <sz val="9"/>
            <color rgb="FF000000"/>
            <rFont val="Tahoma"/>
            <family val="2"/>
            <charset val="1"/>
          </rPr>
          <t>power on 05-07-2022</t>
        </r>
      </text>
    </comment>
    <comment ref="J70" authorId="0" shapeId="0" xr:uid="{00000000-0006-0000-0300-000055000000}">
      <text>
        <r>
          <rPr>
            <sz val="10"/>
            <rFont val="Arial"/>
            <family val="2"/>
          </rPr>
          <t xml:space="preserve">Vinoth Ramalingam:
</t>
        </r>
        <r>
          <rPr>
            <sz val="9"/>
            <color rgb="FF000000"/>
            <rFont val="Tahoma"/>
            <family val="2"/>
            <charset val="1"/>
          </rPr>
          <t>521003975 - 1st FEB-23 2 rack along with 12 kva power proviosioned.</t>
        </r>
      </text>
    </comment>
    <comment ref="M71" authorId="0" shapeId="0" xr:uid="{00000000-0006-0000-0300-000056000000}">
      <text>
        <r>
          <rPr>
            <sz val="10"/>
            <rFont val="Arial"/>
            <family val="2"/>
          </rPr>
          <t xml:space="preserve">Vinoth Ramalingam:
</t>
        </r>
        <r>
          <rPr>
            <sz val="9"/>
            <color rgb="FF000000"/>
            <rFont val="Tahoma"/>
            <family val="2"/>
            <charset val="1"/>
          </rPr>
          <t>521003975 - 1st FEB-23 2 rack along with 12 kva power proviosioned.</t>
        </r>
      </text>
    </comment>
    <comment ref="J72" authorId="0" shapeId="0" xr:uid="{00000000-0006-0000-0300-000057000000}">
      <text>
        <r>
          <rPr>
            <sz val="10"/>
            <rFont val="Arial"/>
            <family val="2"/>
          </rPr>
          <t xml:space="preserve">Vinoth Ramalingam:
</t>
        </r>
        <r>
          <rPr>
            <sz val="9"/>
            <color rgb="FF000000"/>
            <rFont val="Tahoma"/>
            <family val="2"/>
            <charset val="1"/>
          </rPr>
          <t>521004927 - 21U with 1.75KVA Rated power has been proviosioned on 8th MAR-24</t>
        </r>
      </text>
    </comment>
    <comment ref="R72" authorId="0" shapeId="0" xr:uid="{00000000-0006-0000-0300-000058000000}">
      <text>
        <r>
          <rPr>
            <sz val="10"/>
            <rFont val="Arial"/>
            <family val="2"/>
          </rPr>
          <t xml:space="preserve">Vinoth Ramalingam:
</t>
        </r>
        <r>
          <rPr>
            <sz val="9"/>
            <color rgb="FF000000"/>
            <rFont val="Tahoma"/>
            <family val="2"/>
            <charset val="1"/>
          </rPr>
          <t>521004927 - 21U with 1.75KVA Rated power has been proviosioned on 8th MAR-24</t>
        </r>
      </text>
    </comment>
    <comment ref="J73" authorId="0" shapeId="0" xr:uid="{00000000-0006-0000-0300-000059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R73" authorId="0" shapeId="0" xr:uid="{00000000-0006-0000-0300-00005A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S73" authorId="0" shapeId="0" xr:uid="{00000000-0006-0000-0300-00005B000000}">
      <text>
        <r>
          <rPr>
            <sz val="10"/>
            <rFont val="Arial"/>
            <family val="2"/>
          </rPr>
          <t xml:space="preserve">New device added on April
</t>
        </r>
      </text>
    </comment>
    <comment ref="J74" authorId="0" shapeId="0" xr:uid="{00000000-0006-0000-0300-000060000000}">
      <text>
        <r>
          <rPr>
            <sz val="10"/>
            <rFont val="Arial"/>
            <family val="2"/>
          </rPr>
          <t xml:space="preserve">Vinoth Ramalingam:
</t>
        </r>
        <r>
          <rPr>
            <sz val="9"/>
            <color rgb="FF000000"/>
            <rFont val="Tahoma"/>
            <family val="2"/>
            <charset val="1"/>
          </rPr>
          <t>22-08-2024 power on date</t>
        </r>
      </text>
    </comment>
    <comment ref="M74" authorId="0" shapeId="0" xr:uid="{00000000-0006-0000-0300-000061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J75" authorId="0" shapeId="0" xr:uid="{00000000-0006-0000-0300-000062000000}">
      <text>
        <r>
          <rPr>
            <sz val="10"/>
            <rFont val="Arial"/>
            <family val="2"/>
          </rPr>
          <t xml:space="preserve">Vinoth Ramalingam:
</t>
        </r>
        <r>
          <rPr>
            <sz val="9"/>
            <color rgb="FF000000"/>
            <rFont val="Tahoma"/>
            <family val="2"/>
            <charset val="1"/>
          </rPr>
          <t>28-10-2024 power on date</t>
        </r>
      </text>
    </comment>
    <comment ref="M75" authorId="0" shapeId="0" xr:uid="{00000000-0006-0000-0300-000063000000}">
      <text>
        <r>
          <rPr>
            <sz val="10"/>
            <rFont val="Arial"/>
            <family val="2"/>
          </rPr>
          <t xml:space="preserve">Vinoth Ramalingam:
</t>
        </r>
        <r>
          <rPr>
            <sz val="9"/>
            <color rgb="FF000000"/>
            <rFont val="Tahoma"/>
            <family val="2"/>
            <charset val="1"/>
          </rPr>
          <t>521005062 - 4U with 1 KVA power proviosioned on 6th MAR-24</t>
        </r>
      </text>
    </comment>
    <comment ref="J76" authorId="0" shapeId="0" xr:uid="{00000000-0006-0000-0300-000064000000}">
      <text>
        <r>
          <rPr>
            <sz val="10"/>
            <rFont val="Arial"/>
            <family val="2"/>
          </rPr>
          <t xml:space="preserve">Vinoth Ramalingam:
</t>
        </r>
        <r>
          <rPr>
            <sz val="9"/>
            <color rgb="FF000000"/>
            <rFont val="Tahoma"/>
            <family val="2"/>
            <charset val="1"/>
          </rPr>
          <t>28-10-2024 power on date</t>
        </r>
      </text>
    </comment>
    <comment ref="M76" authorId="0" shapeId="0" xr:uid="{00000000-0006-0000-0300-000065000000}">
      <text>
        <r>
          <rPr>
            <sz val="10"/>
            <rFont val="Arial"/>
            <family val="2"/>
          </rPr>
          <t xml:space="preserve">Vinoth Ramalingam:
</t>
        </r>
        <r>
          <rPr>
            <sz val="9"/>
            <color rgb="FF000000"/>
            <rFont val="Tahoma"/>
            <family val="2"/>
            <charset val="1"/>
          </rPr>
          <t>18-8-2024 power on date</t>
        </r>
      </text>
    </comment>
    <comment ref="C77" authorId="0" shapeId="0" xr:uid="{00000000-0006-0000-0300-000066000000}">
      <text>
        <r>
          <rPr>
            <sz val="10"/>
            <rFont val="Arial"/>
            <family val="2"/>
          </rPr>
          <t>5+11+30 Racks</t>
        </r>
      </text>
    </comment>
    <comment ref="M77" authorId="0" shapeId="0" xr:uid="{00000000-0006-0000-0300-000067000000}">
      <text>
        <r>
          <rPr>
            <sz val="10"/>
            <rFont val="Arial"/>
            <family val="2"/>
          </rPr>
          <t xml:space="preserve">Vinoth Ramalingam:
</t>
        </r>
        <r>
          <rPr>
            <sz val="9"/>
            <color rgb="FF000000"/>
            <rFont val="Tahoma"/>
            <family val="2"/>
            <charset val="1"/>
          </rPr>
          <t>18-8-2024 power on date</t>
        </r>
      </text>
    </comment>
    <comment ref="R77" authorId="0" shapeId="0" xr:uid="{00000000-0006-0000-0300-000068000000}">
      <text>
        <r>
          <rPr>
            <sz val="10"/>
            <rFont val="Arial"/>
            <family val="2"/>
          </rPr>
          <t>36+84</t>
        </r>
      </text>
    </comment>
    <comment ref="C78" authorId="0" shapeId="0" xr:uid="{00000000-0006-0000-0300-000069000000}">
      <text>
        <r>
          <rPr>
            <sz val="10"/>
            <rFont val="Arial"/>
            <family val="2"/>
          </rPr>
          <t>5+11+30 Racks</t>
        </r>
      </text>
    </comment>
    <comment ref="R78" authorId="0" shapeId="0" xr:uid="{00000000-0006-0000-0300-00006A000000}">
      <text>
        <r>
          <rPr>
            <sz val="10"/>
            <rFont val="Arial"/>
            <family val="2"/>
          </rPr>
          <t>36+84</t>
        </r>
      </text>
    </comment>
    <comment ref="C79" authorId="0" shapeId="0" xr:uid="{00000000-0006-0000-0300-00006B000000}">
      <text>
        <r>
          <rPr>
            <sz val="10"/>
            <rFont val="Arial"/>
            <family val="2"/>
          </rPr>
          <t xml:space="preserve">changed from rated to subcribe since mesurement of power usage avilable in meter and 5 KVA kept for future use
</t>
        </r>
      </text>
    </comment>
    <comment ref="S79" authorId="0" shapeId="0" xr:uid="{00000000-0006-0000-0300-00006C000000}">
      <text>
        <r>
          <rPr>
            <sz val="10"/>
            <rFont val="Arial"/>
            <family val="2"/>
          </rPr>
          <t>New RTS devices are added in noc room and each RTR which can hold 600 W power</t>
        </r>
      </text>
    </comment>
    <comment ref="J81" authorId="0" shapeId="0" xr:uid="{00000000-0006-0000-0300-00006F000000}">
      <text>
        <r>
          <rPr>
            <sz val="10"/>
            <rFont val="Arial"/>
            <family val="2"/>
          </rPr>
          <t xml:space="preserve">Vinoth Ramalingam:
</t>
        </r>
        <r>
          <rPr>
            <sz val="9"/>
            <color rgb="FF000000"/>
            <rFont val="Tahoma"/>
            <family val="2"/>
            <charset val="1"/>
          </rPr>
          <t>20th June-25 customer rack power on.</t>
        </r>
      </text>
    </comment>
    <comment ref="J82" authorId="0" shapeId="0" xr:uid="{00000000-0006-0000-0300-000070000000}">
      <text>
        <r>
          <rPr>
            <sz val="10"/>
            <rFont val="Arial"/>
            <family val="2"/>
          </rPr>
          <t xml:space="preserve">Vinoth Ramalingam:
</t>
        </r>
        <r>
          <rPr>
            <sz val="9"/>
            <color rgb="FF000000"/>
            <rFont val="Tahoma"/>
            <family val="2"/>
            <charset val="1"/>
          </rPr>
          <t>27th June-25 rack power on</t>
        </r>
      </text>
    </comment>
    <comment ref="AF82" authorId="1" shapeId="0" xr:uid="{00000000-0006-0000-0300-000071000000}">
      <text>
        <r>
          <rPr>
            <b/>
            <sz val="9"/>
            <color indexed="81"/>
            <rFont val="Tahoma"/>
            <charset val="1"/>
          </rPr>
          <t>Add-on 3 Racks one Power ON 9th FEB-26</t>
        </r>
      </text>
    </comment>
    <comment ref="S89" authorId="0" shapeId="0" xr:uid="{00000000-0006-0000-0300-000072000000}">
      <text>
        <r>
          <rPr>
            <sz val="10"/>
            <rFont val="Arial"/>
            <family val="2"/>
          </rPr>
          <t>New RTS devices are added in noc room and each RTR which can hold 600 W power</t>
        </r>
      </text>
    </comment>
    <comment ref="J90" authorId="2" shapeId="0" xr:uid="{00000000-0006-0000-0300-000073000000}">
      <text>
        <r>
          <rPr>
            <sz val="10"/>
            <rFont val="Arial"/>
            <family val="2"/>
          </rPr>
          <t xml:space="preserve">Vinoth Ramalingam:
</t>
        </r>
        <r>
          <rPr>
            <sz val="9"/>
            <color rgb="FF000000"/>
            <rFont val="Tahoma"/>
            <family val="2"/>
            <charset val="1"/>
          </rPr>
          <t>25th NOV 2025 power on</t>
        </r>
      </text>
    </comment>
    <comment ref="M90" authorId="0" shapeId="0" xr:uid="{00000000-0006-0000-0300-000074000000}">
      <text>
        <r>
          <rPr>
            <sz val="10"/>
            <rFont val="Arial"/>
            <family val="2"/>
          </rPr>
          <t xml:space="preserve">Vinoth Ramalingam:
</t>
        </r>
        <r>
          <rPr>
            <sz val="9"/>
            <color rgb="FF000000"/>
            <rFont val="Tahoma"/>
            <family val="2"/>
            <charset val="1"/>
          </rPr>
          <t>18-8-2024 power on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Vinoth Ramalingam</author>
  </authors>
  <commentList>
    <comment ref="C4" authorId="0" shapeId="0" xr:uid="{00000000-0006-0000-0400-000001000000}">
      <text>
        <r>
          <rPr>
            <sz val="10"/>
            <rFont val="Arial"/>
            <family val="2"/>
          </rPr>
          <t xml:space="preserve">Vinoth Ramalingam:
</t>
        </r>
        <r>
          <rPr>
            <sz val="9"/>
            <color rgb="FF000000"/>
            <rFont val="Tahoma"/>
            <family val="2"/>
            <charset val="1"/>
          </rPr>
          <t>19th APR 2024 power off</t>
        </r>
      </text>
    </comment>
    <comment ref="C5" authorId="0" shapeId="0" xr:uid="{00000000-0006-0000-0400-000002000000}">
      <text>
        <r>
          <rPr>
            <sz val="10"/>
            <rFont val="Arial"/>
            <family val="2"/>
          </rPr>
          <t xml:space="preserve">Vinoth Ramalingam:
</t>
        </r>
        <r>
          <rPr>
            <sz val="9"/>
            <color rgb="FF000000"/>
            <rFont val="Tahoma"/>
            <family val="2"/>
            <charset val="1"/>
          </rPr>
          <t>5th June -24 disconnected</t>
        </r>
      </text>
    </comment>
    <comment ref="C6" authorId="0" shapeId="0" xr:uid="{00000000-0006-0000-0400-000003000000}">
      <text>
        <r>
          <rPr>
            <sz val="10"/>
            <rFont val="Arial"/>
            <family val="2"/>
          </rPr>
          <t xml:space="preserve">Vinoth Ramalingam:
</t>
        </r>
        <r>
          <rPr>
            <sz val="9"/>
            <color rgb="FF000000"/>
            <rFont val="Tahoma"/>
            <family val="2"/>
            <charset val="1"/>
          </rPr>
          <t>17-5-2024 disconnect</t>
        </r>
      </text>
    </comment>
    <comment ref="C7" authorId="0" shapeId="0" xr:uid="{00000000-0006-0000-0400-000004000000}">
      <text>
        <r>
          <rPr>
            <sz val="10"/>
            <rFont val="Arial"/>
            <family val="2"/>
          </rPr>
          <t xml:space="preserve">Vinoth Ramalingam:
</t>
        </r>
        <r>
          <rPr>
            <sz val="9"/>
            <color rgb="FF000000"/>
            <rFont val="Tahoma"/>
            <family val="2"/>
            <charset val="1"/>
          </rPr>
          <t>9th july 2024 disconnected</t>
        </r>
      </text>
    </comment>
    <comment ref="C8" authorId="0" shapeId="0" xr:uid="{00000000-0006-0000-0400-000005000000}">
      <text>
        <r>
          <rPr>
            <sz val="10"/>
            <rFont val="Arial"/>
            <family val="2"/>
          </rPr>
          <t xml:space="preserve">Vinoth Ramalingam:
</t>
        </r>
        <r>
          <rPr>
            <sz val="9"/>
            <color rgb="FF000000"/>
            <rFont val="Tahoma"/>
            <family val="2"/>
            <charset val="1"/>
          </rPr>
          <t>27-7-2024 power off</t>
        </r>
      </text>
    </comment>
    <comment ref="C9" authorId="0" shapeId="0" xr:uid="{00000000-0006-0000-0400-000006000000}">
      <text>
        <r>
          <rPr>
            <sz val="10"/>
            <rFont val="Arial"/>
            <family val="2"/>
          </rPr>
          <t xml:space="preserve">Vinoth Ramalingam:
</t>
        </r>
        <r>
          <rPr>
            <sz val="9"/>
            <color rgb="FF000000"/>
            <rFont val="Tahoma"/>
            <family val="2"/>
            <charset val="1"/>
          </rPr>
          <t>31st July 2024 Power off</t>
        </r>
      </text>
    </comment>
    <comment ref="C10" authorId="0" shapeId="0" xr:uid="{00000000-0006-0000-0400-000007000000}">
      <text>
        <r>
          <rPr>
            <sz val="10"/>
            <rFont val="Arial"/>
            <family val="2"/>
          </rPr>
          <t xml:space="preserve">Vinoth Ramalingam:
</t>
        </r>
        <r>
          <rPr>
            <sz val="9"/>
            <color rgb="FF000000"/>
            <rFont val="Tahoma"/>
            <family val="2"/>
            <charset val="1"/>
          </rPr>
          <t>24-09-2024 disconnection</t>
        </r>
      </text>
    </comment>
    <comment ref="C11" authorId="0" shapeId="0" xr:uid="{00000000-0006-0000-0400-000008000000}">
      <text>
        <r>
          <rPr>
            <sz val="10"/>
            <rFont val="Arial"/>
            <family val="2"/>
          </rPr>
          <t xml:space="preserve">Vinoth Ramalingam:
</t>
        </r>
        <r>
          <rPr>
            <sz val="9"/>
            <color rgb="FF000000"/>
            <rFont val="Tahoma"/>
            <family val="2"/>
            <charset val="1"/>
          </rPr>
          <t>Disconnection date 13th FEB 2025</t>
        </r>
      </text>
    </comment>
    <comment ref="C13" authorId="0" shapeId="0" xr:uid="{00000000-0006-0000-0400-000009000000}">
      <text>
        <r>
          <rPr>
            <sz val="10"/>
            <rFont val="Arial"/>
            <family val="2"/>
          </rPr>
          <t xml:space="preserve">Vinoth Ramalingam:
</t>
        </r>
        <r>
          <rPr>
            <sz val="9"/>
            <color rgb="FF000000"/>
            <rFont val="Tahoma"/>
            <family val="2"/>
            <charset val="1"/>
          </rPr>
          <t>2nd may-25 power off</t>
        </r>
      </text>
    </comment>
    <comment ref="J13" authorId="0" shapeId="0" xr:uid="{00000000-0006-0000-0400-00000A000000}">
      <text>
        <r>
          <rPr>
            <sz val="10"/>
            <rFont val="Arial"/>
            <family val="2"/>
          </rPr>
          <t xml:space="preserve">Vinoth Ramalingam:
</t>
        </r>
        <r>
          <rPr>
            <sz val="9"/>
            <color rgb="FF000000"/>
            <rFont val="Tahoma"/>
            <family val="2"/>
            <charset val="1"/>
          </rPr>
          <t>Sify/PBGB/2023/06 Dated 11.07.2023</t>
        </r>
      </text>
    </comment>
    <comment ref="M13" authorId="0" shapeId="0" xr:uid="{00000000-0006-0000-0400-00000B000000}">
      <text>
        <r>
          <rPr>
            <sz val="10"/>
            <rFont val="Arial"/>
            <family val="2"/>
          </rPr>
          <t xml:space="preserve">Vinoth Ramalingam:
</t>
        </r>
        <r>
          <rPr>
            <sz val="9"/>
            <color rgb="FF000000"/>
            <rFont val="Tahoma"/>
            <family val="2"/>
            <charset val="1"/>
          </rPr>
          <t>Sify/PBGB/2023/06 Dated 11.07.2023</t>
        </r>
      </text>
    </comment>
    <comment ref="R13" authorId="0" shapeId="0" xr:uid="{00000000-0006-0000-0400-00000C000000}">
      <text>
        <r>
          <rPr>
            <sz val="10"/>
            <rFont val="Arial"/>
            <family val="2"/>
          </rPr>
          <t xml:space="preserve">Vinoth Ramalingam:
</t>
        </r>
        <r>
          <rPr>
            <sz val="9"/>
            <color rgb="FF000000"/>
            <rFont val="Tahoma"/>
            <family val="2"/>
            <charset val="1"/>
          </rPr>
          <t>Sify/PBGB/2023/06 Dated 11.07.2023 - 4rack 6KVA Rated + 7KVA Additional power</t>
        </r>
      </text>
    </comment>
    <comment ref="C14" authorId="0" shapeId="0" xr:uid="{00000000-0006-0000-0400-00000D000000}">
      <text>
        <r>
          <rPr>
            <sz val="10"/>
            <rFont val="Arial"/>
            <family val="2"/>
          </rPr>
          <t>26th June Power Off</t>
        </r>
      </text>
    </comment>
    <comment ref="C15" authorId="1" shapeId="0" xr:uid="{00000000-0006-0000-0400-00000E000000}">
      <text>
        <r>
          <rPr>
            <sz val="10"/>
            <rFont val="Arial"/>
            <family val="2"/>
          </rPr>
          <t xml:space="preserve">Vinoth Ramalingam:
</t>
        </r>
        <r>
          <rPr>
            <sz val="9"/>
            <color rgb="FF000000"/>
            <rFont val="Tahoma"/>
            <family val="2"/>
            <charset val="1"/>
          </rPr>
          <t>4th SEP-2025 power off</t>
        </r>
      </text>
    </comment>
    <comment ref="M15" authorId="0" shapeId="0" xr:uid="{00000000-0006-0000-0400-00000F000000}">
      <text>
        <r>
          <rPr>
            <sz val="10"/>
            <rFont val="Arial"/>
            <family val="2"/>
          </rPr>
          <t>Additional 1U taken
521003388 - 2U total Uspace 8
3U Terminated, so total U space is 5U
521006875: 4U space</t>
        </r>
      </text>
    </comment>
    <comment ref="S15" authorId="0" shapeId="0" xr:uid="{00000000-0006-0000-0400-000010000000}">
      <text>
        <r>
          <rPr>
            <sz val="10"/>
            <rFont val="Arial"/>
            <family val="2"/>
          </rPr>
          <t xml:space="preserve">Vinoth Ramalingam:
</t>
        </r>
        <r>
          <rPr>
            <sz val="9"/>
            <color rgb="FF000000"/>
            <rFont val="Tahoma"/>
            <family val="2"/>
            <charset val="1"/>
          </rPr>
          <t>MAR-23 customer removed technotrust devices and mounted in GSR rack.</t>
        </r>
      </text>
    </comment>
    <comment ref="S17" authorId="0" shapeId="0" xr:uid="{00000000-0006-0000-0400-000011000000}">
      <text>
        <r>
          <rPr>
            <sz val="10"/>
            <rFont val="Arial"/>
            <family val="2"/>
          </rPr>
          <t>Devices rack mounted and powered on 12th Jan 2020
Microscan 2 devices power off on Aug 2021</t>
        </r>
      </text>
    </comment>
    <comment ref="C18" authorId="1" shapeId="0" xr:uid="{C2ADF202-D890-4F0A-ADD4-14AACEEA46B2}">
      <text>
        <r>
          <rPr>
            <b/>
            <sz val="9"/>
            <color indexed="81"/>
            <rFont val="Tahoma"/>
            <charset val="1"/>
          </rPr>
          <t>Vinoth Ramalingam:</t>
        </r>
        <r>
          <rPr>
            <sz val="9"/>
            <color indexed="81"/>
            <rFont val="Tahoma"/>
            <charset val="1"/>
          </rPr>
          <t xml:space="preserve">
30th DEC 2025 disconnected the services</t>
        </r>
      </text>
    </comment>
    <comment ref="M18" authorId="0" shapeId="0" xr:uid="{00000000-0006-0000-0300-00001A000000}">
      <text>
        <r>
          <rPr>
            <sz val="10"/>
            <rFont val="Arial"/>
            <family val="2"/>
          </rPr>
          <t xml:space="preserve">13 U + 2U +2U+1U
Sep 2022 2U space termination order received from Customer and sever also outwarded.
</t>
        </r>
      </text>
    </comment>
    <comment ref="C19" authorId="0" shapeId="0" xr:uid="{00000000-0006-0000-0300-00003B000000}">
      <text>
        <r>
          <rPr>
            <sz val="10"/>
            <rFont val="Arial"/>
            <family val="2"/>
          </rPr>
          <t>30th Dec 2020 devices has been powered on</t>
        </r>
      </text>
    </comment>
    <comment ref="S19" authorId="0" shapeId="0" xr:uid="{00000000-0006-0000-0300-00003C000000}">
      <text>
        <r>
          <rPr>
            <sz val="10"/>
            <rFont val="Arial"/>
            <family val="2"/>
          </rPr>
          <t>Devices rack mounted and powered on 25th feb 2021</t>
        </r>
      </text>
    </comment>
    <comment ref="C20" authorId="1" shapeId="0" xr:uid="{C83B42AA-996D-4B92-8737-8AD22B228535}">
      <text>
        <r>
          <rPr>
            <b/>
            <sz val="9"/>
            <color indexed="81"/>
            <rFont val="Tahoma"/>
            <charset val="1"/>
          </rPr>
          <t>Vinoth Ramalingam:</t>
        </r>
        <r>
          <rPr>
            <sz val="9"/>
            <color indexed="81"/>
            <rFont val="Tahoma"/>
            <charset val="1"/>
          </rPr>
          <t xml:space="preserve">
3rd NOV 2025 power off</t>
        </r>
      </text>
    </comment>
    <comment ref="J20" authorId="0" shapeId="0" xr:uid="{00000000-0006-0000-0300-00005C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M20" authorId="0" shapeId="0" xr:uid="{00000000-0006-0000-0300-00005D000000}">
      <text>
        <r>
          <rPr>
            <sz val="10"/>
            <rFont val="Arial"/>
            <family val="2"/>
          </rPr>
          <t xml:space="preserve">Vinoth Ramalingam:
</t>
        </r>
        <r>
          <rPr>
            <sz val="9"/>
            <color rgb="FF000000"/>
            <rFont val="Tahoma"/>
            <family val="2"/>
            <charset val="1"/>
          </rPr>
          <t>521004927 - 21U with 1.75KVA Rated power has been proviosioned on 8th MAR-24</t>
        </r>
      </text>
    </comment>
    <comment ref="R20" authorId="0" shapeId="0" xr:uid="{00000000-0006-0000-0300-00005E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S20" authorId="0" shapeId="0" xr:uid="{00000000-0006-0000-0300-00005F000000}">
      <text>
        <r>
          <rPr>
            <sz val="10"/>
            <rFont val="Arial"/>
            <family val="2"/>
          </rPr>
          <t xml:space="preserve">New device added on April
</t>
        </r>
      </text>
    </comment>
    <comment ref="C21" authorId="0" shapeId="0" xr:uid="{00000000-0006-0000-0300-00006D000000}">
      <text>
        <r>
          <rPr>
            <sz val="10"/>
            <rFont val="Arial"/>
            <family val="2"/>
          </rPr>
          <t xml:space="preserve">21st FEB 2026 power off
</t>
        </r>
      </text>
    </comment>
    <comment ref="S21" authorId="0" shapeId="0" xr:uid="{00000000-0006-0000-0300-00006E000000}">
      <text>
        <r>
          <rPr>
            <sz val="10"/>
            <rFont val="Arial"/>
            <family val="2"/>
          </rPr>
          <t>New RTS devices are added in noc room and each RTR which can hold 600 W power</t>
        </r>
      </text>
    </comment>
  </commentList>
</comments>
</file>

<file path=xl/sharedStrings.xml><?xml version="1.0" encoding="utf-8"?>
<sst xmlns="http://schemas.openxmlformats.org/spreadsheetml/2006/main" count="1492" uniqueCount="259">
  <si>
    <t>Description</t>
  </si>
  <si>
    <t>UOM</t>
  </si>
  <si>
    <t>Value</t>
  </si>
  <si>
    <t>Actual Load KVA</t>
  </si>
  <si>
    <t>Remarks</t>
  </si>
  <si>
    <t xml:space="preserve">Service-1 Utility Sanction Load KVA </t>
  </si>
  <si>
    <t>KVA</t>
  </si>
  <si>
    <t xml:space="preserve">Service-2 Utility Sanction Load KVA </t>
  </si>
  <si>
    <t xml:space="preserve">Customer contracted capacity </t>
  </si>
  <si>
    <t>POWER SUMMARY</t>
  </si>
  <si>
    <t>Contract Demand</t>
  </si>
  <si>
    <t>Utility Consump</t>
  </si>
  <si>
    <t>Demand %</t>
  </si>
  <si>
    <t>IT Consump</t>
  </si>
  <si>
    <t>PUE</t>
  </si>
  <si>
    <t>Bangalore EB Service-1</t>
  </si>
  <si>
    <t>TOTAL Bangalore-01</t>
  </si>
  <si>
    <t>INVENTORY SUMMARY</t>
  </si>
  <si>
    <t>IT KW CAPACITY</t>
  </si>
  <si>
    <t>IT KW CONSUMPTION</t>
  </si>
  <si>
    <t>RACKSPACE CAPACITY</t>
  </si>
  <si>
    <t>Design</t>
  </si>
  <si>
    <t>Sold</t>
  </si>
  <si>
    <t>Available</t>
  </si>
  <si>
    <t>Consumed</t>
  </si>
  <si>
    <t>% of Sold</t>
  </si>
  <si>
    <t>Des - Losses</t>
  </si>
  <si>
    <t>BNG 01 by Floor:</t>
  </si>
  <si>
    <t>L1</t>
  </si>
  <si>
    <t>L3</t>
  </si>
  <si>
    <t>L2</t>
  </si>
  <si>
    <t>As per the Sanction Letter</t>
  </si>
  <si>
    <t>Usage measured on 1of every month</t>
  </si>
  <si>
    <t>Utility Sanction Load KVA</t>
  </si>
  <si>
    <t>4000 kVA</t>
  </si>
  <si>
    <t xml:space="preserve">Utility Minimum Demand % </t>
  </si>
  <si>
    <t>Capacity Installed</t>
  </si>
  <si>
    <t>Transformer kW</t>
  </si>
  <si>
    <t>No of TX</t>
  </si>
  <si>
    <t>Catcher TX kW</t>
  </si>
  <si>
    <t xml:space="preserve">No. Of catcher </t>
  </si>
  <si>
    <t>Actual Load kW</t>
  </si>
  <si>
    <t>Generator kW</t>
  </si>
  <si>
    <t xml:space="preserve">No of DG </t>
  </si>
  <si>
    <t>Catcher DG kW</t>
  </si>
  <si>
    <t>UPS kW</t>
  </si>
  <si>
    <t>UPS Config</t>
  </si>
  <si>
    <t>IT capacity Installed kW</t>
  </si>
  <si>
    <t>IT Power Sold in kW ( considering unity as PF)</t>
  </si>
  <si>
    <t>Allocated IT Power to customer ( Taking 50% as divercity factor for rated power customer )</t>
  </si>
  <si>
    <t>IT kW Usage</t>
  </si>
  <si>
    <t>Avaialble IT kW Design-Used</t>
  </si>
  <si>
    <t>Available IT kW Design-Sold</t>
  </si>
  <si>
    <t>Available IT kW Design-Sold ( Allocated capacity)</t>
  </si>
  <si>
    <t xml:space="preserve">MAX Rack Capacity </t>
  </si>
  <si>
    <t>Rack Space sold out</t>
  </si>
  <si>
    <t>Rack losss ( Cage+ non standard rack+ path)</t>
  </si>
  <si>
    <t>Available space</t>
  </si>
  <si>
    <t>Designed White Space ( in SQ FT)</t>
  </si>
  <si>
    <t>Used White Space( in SQ FT)</t>
  </si>
  <si>
    <t>Avaialble White Space ( in SQ FT)</t>
  </si>
  <si>
    <t>Mention the design kW capacity of Transformer</t>
  </si>
  <si>
    <t>Mention the design kW capacity of Generator</t>
  </si>
  <si>
    <t>Mention the design N capacity in kw in a N+N Configuration</t>
  </si>
  <si>
    <t>Installed including interfloor shared capacity</t>
  </si>
  <si>
    <t>Customer subscribed IT kW</t>
  </si>
  <si>
    <t>Allocated power</t>
  </si>
  <si>
    <t>Measured on 1st of every month</t>
  </si>
  <si>
    <t xml:space="preserve">300kVA X 2 No’s – Source A  300kVA X 2 no’s- Source B   </t>
  </si>
  <si>
    <t xml:space="preserve">600kVA X 3 No’s – Source A  600kVA X 3 no’s- Source B   </t>
  </si>
  <si>
    <t xml:space="preserve">600kVA X 2 No’s – Source A  600kVA X 2  no’s- Source B   </t>
  </si>
  <si>
    <t>Total</t>
  </si>
  <si>
    <t xml:space="preserve">Divisification </t>
  </si>
  <si>
    <t>Rated to Consumed</t>
  </si>
  <si>
    <t>Actual PUE</t>
  </si>
  <si>
    <t>Actual Unit Rate:</t>
  </si>
  <si>
    <t>Genset Hr/Mo</t>
  </si>
  <si>
    <t>Billing Model</t>
  </si>
  <si>
    <t>Space</t>
  </si>
  <si>
    <t>Power Capacity</t>
  </si>
  <si>
    <t>Power Usage</t>
  </si>
  <si>
    <t>Seating Space</t>
  </si>
  <si>
    <t>Revenue (Monthly )</t>
  </si>
  <si>
    <t>Contract Information</t>
  </si>
  <si>
    <t>Floor</t>
  </si>
  <si>
    <t>Floor / Module</t>
  </si>
  <si>
    <t>Customer Name</t>
  </si>
  <si>
    <t>RHS/SH</t>
  </si>
  <si>
    <t>Power Subscription Model (Rated/Subscribed)</t>
  </si>
  <si>
    <t>Power Usage Model (Bundled / Metered)</t>
  </si>
  <si>
    <t>Subscription Mode</t>
  </si>
  <si>
    <t>Caged /Uncaged</t>
  </si>
  <si>
    <t>UoM</t>
  </si>
  <si>
    <t>Subscription</t>
  </si>
  <si>
    <t>In Use</t>
  </si>
  <si>
    <t>Yet to be given/</t>
  </si>
  <si>
    <t>Billed</t>
  </si>
  <si>
    <t>Reserved Capacity if any (Non-Billable)</t>
  </si>
  <si>
    <t>Per Unit rate (MRC)</t>
  </si>
  <si>
    <t>Subscription Model</t>
  </si>
  <si>
    <t xml:space="preserve">Total Capacity Purchased </t>
  </si>
  <si>
    <t>Capacity in Use</t>
  </si>
  <si>
    <t>Capacity to be given</t>
  </si>
  <si>
    <t>Reserved Capacity        if any</t>
  </si>
  <si>
    <t>Subscribed Capacity to be given in KW</t>
  </si>
  <si>
    <t>"Allocated" Capacity in KW</t>
  </si>
  <si>
    <t>DC NW Infra</t>
  </si>
  <si>
    <t>Usage in KW</t>
  </si>
  <si>
    <t>Billable Additional Capacity</t>
  </si>
  <si>
    <t>Additional Capacity Charges (MRC)</t>
  </si>
  <si>
    <t>Usage Model</t>
  </si>
  <si>
    <t>Multiplier</t>
  </si>
  <si>
    <t>Unit rate Model (Fixed/Variable)</t>
  </si>
  <si>
    <t>Unit Rate (per KW-HR)</t>
  </si>
  <si>
    <t>No Of Units 
(KW-HR/ Month</t>
  </si>
  <si>
    <t>Yet to be given</t>
  </si>
  <si>
    <t>Per Unit rate</t>
  </si>
  <si>
    <t>Space revenue including capacity</t>
  </si>
  <si>
    <t>Additional Capacity Revenue</t>
  </si>
  <si>
    <t>Power Usage revenue</t>
  </si>
  <si>
    <t>Any Other Items</t>
  </si>
  <si>
    <t>Total Revenue</t>
  </si>
  <si>
    <t>Billing Frequency</t>
  </si>
  <si>
    <t>Sales Order ref No</t>
  </si>
  <si>
    <t>Contract Start Date</t>
  </si>
  <si>
    <t>Term of Contract (No of Years)</t>
  </si>
  <si>
    <t>Current Expiry Date</t>
  </si>
  <si>
    <t>Remarks if any</t>
  </si>
  <si>
    <t>Cross connect</t>
  </si>
  <si>
    <t>Axis bank</t>
  </si>
  <si>
    <t>No</t>
  </si>
  <si>
    <t>Subscribed</t>
  </si>
  <si>
    <t>Metered</t>
  </si>
  <si>
    <t>Rack</t>
  </si>
  <si>
    <t>Caged</t>
  </si>
  <si>
    <t>kVA</t>
  </si>
  <si>
    <t>Variable</t>
  </si>
  <si>
    <t>No of Seats</t>
  </si>
  <si>
    <t>No of seats</t>
  </si>
  <si>
    <t>Union Bank</t>
  </si>
  <si>
    <t>Fixed</t>
  </si>
  <si>
    <t>DC-3</t>
  </si>
  <si>
    <t>Yes bank</t>
  </si>
  <si>
    <t>UST Global</t>
  </si>
  <si>
    <t>yes</t>
  </si>
  <si>
    <t>Uncaged</t>
  </si>
  <si>
    <t>Data vision software solutions pvt ltd</t>
  </si>
  <si>
    <t>Rated</t>
  </si>
  <si>
    <t>Bundled</t>
  </si>
  <si>
    <t>DC-2</t>
  </si>
  <si>
    <t>The Oriental Insurance Company Limited</t>
  </si>
  <si>
    <t>AGRICULTURE INSURANCE COMPANY OF INDIA LIMITED</t>
  </si>
  <si>
    <t>Polestar</t>
  </si>
  <si>
    <t>New India Assurance Co. Ltd.</t>
  </si>
  <si>
    <t>Torrent Power</t>
  </si>
  <si>
    <t>LIC HOUSING FINANCE LTD</t>
  </si>
  <si>
    <t>Avenue Supermart  (Dmart)</t>
  </si>
  <si>
    <t>Aviva</t>
  </si>
  <si>
    <t>HITPA</t>
  </si>
  <si>
    <t>Stock holding corporation of India</t>
  </si>
  <si>
    <t>KW</t>
  </si>
  <si>
    <t>SIMPLE TELECOM PVT LTD</t>
  </si>
  <si>
    <t>DC-1</t>
  </si>
  <si>
    <t>Vishal Megamart</t>
  </si>
  <si>
    <t>MEIKO CLEAN SOLUTIONS (INDIA) PRIVATE LIMITED</t>
  </si>
  <si>
    <t>CONTAQUE CLOUD PVT LTD</t>
  </si>
  <si>
    <t>U space</t>
  </si>
  <si>
    <t>CLINISYS INDIA PRIVATE LIMITED</t>
  </si>
  <si>
    <t>BAJAJ FINANCE LTD</t>
  </si>
  <si>
    <t>UNISYS INDIA PVT LTD</t>
  </si>
  <si>
    <t>Hindustan Pencil</t>
  </si>
  <si>
    <t>Yes</t>
  </si>
  <si>
    <t>J2 Global</t>
  </si>
  <si>
    <t>Ubona</t>
  </si>
  <si>
    <t>Ramco</t>
  </si>
  <si>
    <t>Sixth Energy (NEUREOL)</t>
  </si>
  <si>
    <t>Kluber</t>
  </si>
  <si>
    <t>Ozonetel</t>
  </si>
  <si>
    <t>SingTel</t>
  </si>
  <si>
    <t>Thane Cooperative Bank</t>
  </si>
  <si>
    <t>Knowlarity</t>
  </si>
  <si>
    <t>SH Kelkar</t>
  </si>
  <si>
    <t>Gradatim</t>
  </si>
  <si>
    <t>INFIBEAM AVENUES LIMITED</t>
  </si>
  <si>
    <t>Maximus Infoware</t>
  </si>
  <si>
    <t>Avenue Ecommerce</t>
  </si>
  <si>
    <t>ESAB</t>
  </si>
  <si>
    <t>INSURANCE INFORMATION BUREAU OF INDIA</t>
  </si>
  <si>
    <t>NIXI</t>
  </si>
  <si>
    <t>UPPCL</t>
  </si>
  <si>
    <t>Max Bhupa</t>
  </si>
  <si>
    <t>L&amp;T infotech</t>
  </si>
  <si>
    <t>Hughes Communications</t>
  </si>
  <si>
    <t>Jubilant Motors</t>
  </si>
  <si>
    <t>GIC</t>
  </si>
  <si>
    <t>Happiest Mind</t>
  </si>
  <si>
    <t>Bajoria</t>
  </si>
  <si>
    <t>ACT Broad band</t>
  </si>
  <si>
    <t>Aspiration Images</t>
  </si>
  <si>
    <t>Vashi Electricals</t>
  </si>
  <si>
    <t>TCI Express</t>
  </si>
  <si>
    <t>PRAMERICA LIFE INSURANCE LIMITED</t>
  </si>
  <si>
    <t>NISM</t>
  </si>
  <si>
    <t>Wildcraft</t>
  </si>
  <si>
    <t>Bombay Merchantile Co Operative Bank Ltd IFTAS</t>
  </si>
  <si>
    <t>AKSHAYAPATRA FOUNDATION</t>
  </si>
  <si>
    <t>Triveni Engineering</t>
  </si>
  <si>
    <t>Coforge Ltd</t>
  </si>
  <si>
    <t>United brewaries LTD</t>
  </si>
  <si>
    <t>DBFS Securities Limited</t>
  </si>
  <si>
    <t>TELECMI Technologies</t>
  </si>
  <si>
    <t>Extreme</t>
  </si>
  <si>
    <t>Kansai Nerolac</t>
  </si>
  <si>
    <t>ISHAN</t>
  </si>
  <si>
    <t>Jiffy (SRI LAKSHMI NETWORKS PRIVATE LIMITED)</t>
  </si>
  <si>
    <t>Tech Solve Engine</t>
  </si>
  <si>
    <t>MMR-4</t>
  </si>
  <si>
    <t>LIGHTSTORM TELECOM CONNECTIVITY PRIVATE LIMITED</t>
  </si>
  <si>
    <t>IFB INDUSTRIES LIMITED</t>
  </si>
  <si>
    <t>CHEMPLAST SANMAR LTD</t>
  </si>
  <si>
    <t>MN WORLD ENTERPRISE PVT LTD</t>
  </si>
  <si>
    <t>DEEPIJA TELECOM PRIVATE LIMITED</t>
  </si>
  <si>
    <t>no of seats</t>
  </si>
  <si>
    <t>SITA INC INDIA PVT LTD</t>
  </si>
  <si>
    <t>ACCUPAYD TECH PRIVATE LIMITED</t>
  </si>
  <si>
    <t>HITACHI ASTEMO GURUGRAM POWERTRAIN SYSTEMS PRIVATE LIMITED</t>
  </si>
  <si>
    <t xml:space="preserve">Cloud project 1 * 2 </t>
  </si>
  <si>
    <t>Managed services project</t>
  </si>
  <si>
    <t xml:space="preserve">NOC </t>
  </si>
  <si>
    <t>CITO INFOTECH PRIVATE LIMITED</t>
  </si>
  <si>
    <t>ESAF SMALL FINANCE BANK LIMITED</t>
  </si>
  <si>
    <t>MANGALORE REFINERY AND PETROCHEMICALS LTD</t>
  </si>
  <si>
    <t>SHIVTEL COMMUNICATIONS PRIVATE LIMITED</t>
  </si>
  <si>
    <t>TCI SUPPLY CHAIN SOLUTION A DIVISION OF TRANSPORT</t>
  </si>
  <si>
    <t>MAXIMUS INFOWARE(INDIA) PVT LTD</t>
  </si>
  <si>
    <t>ISHAN NETSOL PVT LTD</t>
  </si>
  <si>
    <t>AAPTTEKNOUS SERVICES PRIVATE LIMITED</t>
  </si>
  <si>
    <t>ALTIMAT DATA CENTER INDIA PRIVATE LIMITED</t>
  </si>
  <si>
    <t>INFRASOFT TECHNOLOGIES LIMITIED</t>
  </si>
  <si>
    <t>KARNATAKA FASTNET PRIVATE LIMITED</t>
  </si>
  <si>
    <t>CARE RATINGS LIMITED</t>
  </si>
  <si>
    <t>BESCOM</t>
  </si>
  <si>
    <t>Timesofmoney(Unimoni Enterprise Solutions Pvt. Ltd)</t>
  </si>
  <si>
    <t>TechM WAAS(ING)</t>
  </si>
  <si>
    <t>Shapoorji Pallonji</t>
  </si>
  <si>
    <t>FedBank</t>
  </si>
  <si>
    <t xml:space="preserve">Sungard </t>
  </si>
  <si>
    <t>Star union daichi</t>
  </si>
  <si>
    <t>India Post payment bank Ltd</t>
  </si>
  <si>
    <t>Disconnected on 15 March 2025</t>
  </si>
  <si>
    <t>BAJAJ FINANCIAL SECURITIES LTD</t>
  </si>
  <si>
    <t>UCO BANK 2 - Temp</t>
  </si>
  <si>
    <t>kfintek</t>
  </si>
  <si>
    <t>TECHNO TRUST SOLUTIONS</t>
  </si>
  <si>
    <t>ASB International</t>
  </si>
  <si>
    <t>Que Processing Service Ltd</t>
  </si>
  <si>
    <t>BRITANNIA</t>
  </si>
  <si>
    <t>VERSA NETWORKS INC</t>
  </si>
  <si>
    <t>THE AHMEDNAGAR DISTRICT CENTRAL CO OP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</si>
</sst>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_);_(@_)"/>
    <numFmt numFmtId="165" formatCode="0.00_);[Red]\(0.00\)"/>
    <numFmt numFmtId="166" formatCode="_(* #,##0_);_(* \(#,##0\);_(* \-??_);_(@_)"/>
    <numFmt numFmtId="167" formatCode="&quot;_ &quot;[$₹-4009]\ * #,##0.00&quot; _ &quot;;&quot;_ &quot;[$₹-4009]\ * \-#,##0.00&quot; _ &quot;;&quot;_ &quot;[$₹-4009]\ * \-??&quot; _ &quot;;_ @_ "/>
    <numFmt numFmtId="168" formatCode="0_);[Red]\(0\)"/>
    <numFmt numFmtId="169" formatCode="&quot;_ &quot;[$₹-4009]\ * #,##0&quot; _ &quot;;&quot;_ &quot;[$₹-4009]\ * \-#,##0&quot; _ &quot;;&quot;_ &quot;[$₹-4009]\ * \-??&quot; _ &quot;;_ @_ "/>
    <numFmt numFmtId="170" formatCode="_ [$₹-4009]\ * #,##0_ ;_ [$₹-4009]\ * \-#,##0_ ;_ [$₹-4009]\ * \-??_ ;_ @_ "/>
    <numFmt numFmtId="171" formatCode="mm/yy"/>
    <numFmt numFmtId="172" formatCode="_(* #,##0.0_);_(* \(#,##0.0\);_(* \-??_);_(@_)"/>
    <numFmt numFmtId="173" formatCode="_ * #,##0.00_ ;_ * \-#,##0.00_ ;_ * \-??_ ;_ @_ "/>
    <numFmt numFmtId="174" formatCode="0.0"/>
    <numFmt numFmtId="175" formatCode="_ [$₹-4009]\ * #,##0.00_ ;_ [$₹-4009]\ * \-#,##0.00_ ;_ [$₹-4009]\ * \-??_ ;_ @_ "/>
    <numFmt numFmtId="176" formatCode="[$-409]d/mmm/yy;@"/>
  </numFmts>
  <fonts count="29" x14ac:knownFonts="1">
    <font>
      <sz val="10"/>
      <color rgb="FF000000"/>
      <name val="Calibri"/>
      <family val="2"/>
      <charset val="1"/>
    </font>
    <font>
      <u/>
      <sz val="11"/>
      <color rgb="FF0000FF"/>
      <name val="Calibri"/>
      <family val="2"/>
      <charset val="1"/>
    </font>
    <font>
      <sz val="11"/>
      <color rgb="FF000000"/>
      <name val="Calibri"/>
      <family val="2"/>
      <charset val="1"/>
    </font>
    <font>
      <sz val="10"/>
      <name val="Arial"/>
      <family val="2"/>
      <charset val="1"/>
    </font>
    <font>
      <b/>
      <sz val="10"/>
      <color rgb="FF000000"/>
      <name val="Calibri"/>
      <family val="2"/>
      <charset val="1"/>
    </font>
    <font>
      <b/>
      <sz val="9"/>
      <color rgb="FF000000"/>
      <name val="Calibri"/>
      <family val="2"/>
      <charset val="1"/>
    </font>
    <font>
      <sz val="9"/>
      <color rgb="FF000000"/>
      <name val="Calibri"/>
      <family val="2"/>
      <charset val="1"/>
    </font>
    <font>
      <b/>
      <sz val="10"/>
      <color rgb="FFC0504D"/>
      <name val="Calibri"/>
      <family val="2"/>
      <charset val="1"/>
    </font>
    <font>
      <sz val="10"/>
      <name val="Arial"/>
      <family val="2"/>
    </font>
    <font>
      <sz val="9"/>
      <color rgb="FF000000"/>
      <name val="Bookman Old Style"/>
      <family val="1"/>
      <charset val="1"/>
    </font>
    <font>
      <b/>
      <sz val="9"/>
      <color rgb="FF000000"/>
      <name val="Bookman Old Style"/>
      <family val="1"/>
      <charset val="1"/>
    </font>
    <font>
      <b/>
      <sz val="9"/>
      <name val="Bookman Old Style"/>
      <family val="1"/>
      <charset val="1"/>
    </font>
    <font>
      <sz val="9"/>
      <name val="Bookman Old Style"/>
      <family val="1"/>
      <charset val="1"/>
    </font>
    <font>
      <sz val="9"/>
      <color theme="1"/>
      <name val="Bookman Old Style"/>
      <family val="1"/>
      <charset val="1"/>
    </font>
    <font>
      <sz val="8"/>
      <color rgb="FF000000"/>
      <name val="Trebuchet MS"/>
      <family val="2"/>
      <charset val="1"/>
    </font>
    <font>
      <sz val="9"/>
      <color rgb="FFFF0000"/>
      <name val="Bookman Old Style"/>
      <family val="1"/>
      <charset val="1"/>
    </font>
    <font>
      <sz val="10.5"/>
      <color rgb="FF000000"/>
      <name val="Trebuchet MS"/>
      <family val="2"/>
      <charset val="1"/>
    </font>
    <font>
      <sz val="7"/>
      <color rgb="FF151920"/>
      <name val="Arial"/>
      <family val="2"/>
      <charset val="1"/>
    </font>
    <font>
      <sz val="9"/>
      <color rgb="FF151920"/>
      <name val="Bookman Old Style"/>
      <family val="1"/>
      <charset val="1"/>
    </font>
    <font>
      <sz val="9"/>
      <color rgb="FF000000"/>
      <name val="Tahoma"/>
      <family val="2"/>
      <charset val="1"/>
    </font>
    <font>
      <b/>
      <sz val="10"/>
      <color rgb="FF000000"/>
      <name val="Bookman Old Style"/>
      <family val="1"/>
      <charset val="1"/>
    </font>
    <font>
      <b/>
      <sz val="10"/>
      <name val="Bookman Old Style"/>
      <family val="1"/>
      <charset val="1"/>
    </font>
    <font>
      <b/>
      <sz val="10"/>
      <name val="Calibri"/>
      <family val="2"/>
      <charset val="1"/>
    </font>
    <font>
      <sz val="10.5"/>
      <name val="Calibri"/>
      <family val="2"/>
      <charset val="1"/>
    </font>
    <font>
      <sz val="10.5"/>
      <color rgb="FF000000"/>
      <name val="Calibri"/>
      <family val="2"/>
      <charset val="1"/>
    </font>
    <font>
      <sz val="10.5"/>
      <color theme="1"/>
      <name val="Calibri"/>
      <family val="2"/>
      <charset val="1"/>
    </font>
    <font>
      <sz val="10"/>
      <color rgb="FF000000"/>
      <name val="Calibri"/>
      <family val="2"/>
      <charset val="1"/>
    </font>
    <font>
      <b/>
      <sz val="9"/>
      <color indexed="81"/>
      <name val="Tahoma"/>
      <charset val="1"/>
    </font>
    <font>
      <sz val="9"/>
      <color indexed="81"/>
      <name val="Tahoma"/>
      <charset val="1"/>
    </font>
  </fonts>
  <fills count="8">
    <fill>
      <patternFill patternType="none"/>
    </fill>
    <fill>
      <patternFill patternType="gray125"/>
    </fill>
    <fill>
      <patternFill patternType="solid">
        <fgColor rgb="FF92D050"/>
        <bgColor rgb="FFA6A6A6"/>
      </patternFill>
    </fill>
    <fill>
      <patternFill patternType="solid">
        <fgColor rgb="FFFFFFFF"/>
        <bgColor rgb="FFFFFFCC"/>
      </patternFill>
    </fill>
    <fill>
      <patternFill patternType="solid">
        <fgColor rgb="FFFFC000"/>
        <bgColor rgb="FFFF9900"/>
      </patternFill>
    </fill>
    <fill>
      <patternFill patternType="solid">
        <fgColor rgb="FFA6A6A6"/>
        <bgColor rgb="FFC0C0C0"/>
      </patternFill>
    </fill>
    <fill>
      <patternFill patternType="solid">
        <fgColor rgb="FFFFFF00"/>
        <bgColor rgb="FFFFFF00"/>
      </patternFill>
    </fill>
    <fill>
      <patternFill patternType="solid">
        <fgColor theme="4"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bottom style="thin">
        <color auto="1"/>
      </bottom>
      <diagonal/>
    </border>
  </borders>
  <cellStyleXfs count="29">
    <xf numFmtId="0" fontId="0" fillId="0" borderId="0"/>
    <xf numFmtId="173" fontId="26" fillId="0" borderId="0" applyBorder="0" applyProtection="0"/>
    <xf numFmtId="9" fontId="26" fillId="0" borderId="0" applyBorder="0" applyProtection="0"/>
    <xf numFmtId="164" fontId="26" fillId="0" borderId="0" applyBorder="0" applyProtection="0"/>
    <xf numFmtId="0" fontId="1" fillId="0" borderId="0" applyBorder="0" applyProtection="0"/>
    <xf numFmtId="0" fontId="1" fillId="0" borderId="0" applyBorder="0" applyProtection="0"/>
    <xf numFmtId="0" fontId="1" fillId="0" borderId="0" applyBorder="0" applyProtection="0"/>
    <xf numFmtId="0" fontId="1" fillId="0" borderId="0" applyBorder="0" applyProtection="0"/>
    <xf numFmtId="0" fontId="26" fillId="0" borderId="0"/>
    <xf numFmtId="0" fontId="2" fillId="0" borderId="0"/>
    <xf numFmtId="0" fontId="3" fillId="0" borderId="0"/>
    <xf numFmtId="0" fontId="26" fillId="0" borderId="0"/>
    <xf numFmtId="0" fontId="3" fillId="0" borderId="0"/>
    <xf numFmtId="0" fontId="2" fillId="0" borderId="0"/>
    <xf numFmtId="0" fontId="26" fillId="0" borderId="0"/>
    <xf numFmtId="0" fontId="3" fillId="0" borderId="0"/>
    <xf numFmtId="0" fontId="3" fillId="0" borderId="0"/>
    <xf numFmtId="0" fontId="26" fillId="0" borderId="0"/>
    <xf numFmtId="0" fontId="2" fillId="0" borderId="0"/>
    <xf numFmtId="9" fontId="26" fillId="0" borderId="0" applyBorder="0" applyProtection="0"/>
    <xf numFmtId="9" fontId="26" fillId="0" borderId="0" applyBorder="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273">
    <xf numFmtId="0" fontId="0" fillId="0" borderId="0" xfId="0"/>
    <xf numFmtId="0" fontId="4" fillId="2" borderId="1" xfId="22" applyFont="1" applyFill="1" applyBorder="1" applyAlignment="1">
      <alignment horizontal="center" vertical="center" wrapText="1"/>
    </xf>
    <xf numFmtId="2" fontId="4" fillId="2" borderId="1" xfId="22" applyNumberFormat="1" applyFont="1" applyFill="1" applyBorder="1" applyAlignment="1">
      <alignment horizontal="center" vertical="center" wrapText="1"/>
    </xf>
    <xf numFmtId="0" fontId="5" fillId="3" borderId="1" xfId="22" applyFont="1" applyFill="1" applyBorder="1" applyAlignment="1">
      <alignment horizontal="center" vertical="center" wrapText="1"/>
    </xf>
    <xf numFmtId="2" fontId="6" fillId="3" borderId="1" xfId="22" applyNumberFormat="1" applyFont="1" applyFill="1" applyBorder="1" applyAlignment="1">
      <alignment horizontal="center" vertical="center"/>
    </xf>
    <xf numFmtId="0" fontId="6" fillId="3" borderId="1" xfId="23" applyFont="1" applyFill="1" applyBorder="1" applyAlignment="1">
      <alignment horizontal="center" vertical="center"/>
    </xf>
    <xf numFmtId="0" fontId="6" fillId="0" borderId="1" xfId="0" applyFont="1" applyBorder="1"/>
    <xf numFmtId="0" fontId="5" fillId="3" borderId="1" xfId="22" applyFont="1" applyFill="1" applyBorder="1" applyAlignment="1">
      <alignment horizontal="center" vertical="center"/>
    </xf>
    <xf numFmtId="9" fontId="6" fillId="3" borderId="1" xfId="2" applyFont="1" applyFill="1" applyBorder="1" applyAlignment="1" applyProtection="1">
      <alignment horizontal="center" vertical="center"/>
    </xf>
    <xf numFmtId="0" fontId="6" fillId="3" borderId="1" xfId="22" applyFont="1" applyFill="1" applyBorder="1" applyAlignment="1">
      <alignment horizontal="center" vertical="center"/>
    </xf>
    <xf numFmtId="0" fontId="5" fillId="0" borderId="1" xfId="0" applyFont="1" applyBorder="1" applyAlignment="1">
      <alignment horizontal="center"/>
    </xf>
    <xf numFmtId="0" fontId="6" fillId="0" borderId="1" xfId="0" applyFont="1" applyBorder="1" applyAlignment="1">
      <alignment horizontal="center"/>
    </xf>
    <xf numFmtId="0" fontId="5" fillId="0" borderId="1" xfId="0" applyFont="1" applyBorder="1"/>
    <xf numFmtId="0" fontId="0" fillId="4" borderId="1" xfId="0" applyFill="1" applyBorder="1"/>
    <xf numFmtId="0" fontId="0" fillId="4" borderId="1" xfId="0" applyFill="1" applyBorder="1" applyAlignment="1">
      <alignment wrapText="1"/>
    </xf>
    <xf numFmtId="0" fontId="0" fillId="0" borderId="1" xfId="0" applyBorder="1"/>
    <xf numFmtId="0" fontId="0" fillId="0" borderId="1" xfId="0" applyBorder="1" applyAlignment="1">
      <alignment wrapText="1"/>
    </xf>
    <xf numFmtId="9" fontId="0" fillId="0" borderId="1" xfId="2" applyFont="1" applyBorder="1" applyProtection="1"/>
    <xf numFmtId="1" fontId="0" fillId="0" borderId="1" xfId="0" applyNumberFormat="1" applyBorder="1"/>
    <xf numFmtId="2" fontId="0" fillId="0" borderId="1" xfId="0" applyNumberFormat="1" applyBorder="1"/>
    <xf numFmtId="0" fontId="0" fillId="4" borderId="2" xfId="0" applyFill="1" applyBorder="1" applyAlignment="1">
      <alignment horizontal="center"/>
    </xf>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4" fillId="0" borderId="5" xfId="0" applyFont="1" applyBorder="1"/>
    <xf numFmtId="1" fontId="4" fillId="0" borderId="5" xfId="0" applyNumberFormat="1" applyFont="1" applyBorder="1"/>
    <xf numFmtId="1" fontId="4" fillId="0" borderId="1" xfId="0" applyNumberFormat="1" applyFont="1" applyBorder="1"/>
    <xf numFmtId="1" fontId="4" fillId="0" borderId="6" xfId="0" applyNumberFormat="1" applyFont="1" applyBorder="1"/>
    <xf numFmtId="1" fontId="4" fillId="0" borderId="7" xfId="0" applyNumberFormat="1" applyFont="1" applyBorder="1"/>
    <xf numFmtId="9" fontId="4" fillId="0" borderId="8" xfId="2" applyFont="1" applyBorder="1" applyProtection="1"/>
    <xf numFmtId="1"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2" fontId="0" fillId="0" borderId="5"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9" fontId="0" fillId="0" borderId="8" xfId="2" applyFont="1" applyBorder="1" applyProtection="1"/>
    <xf numFmtId="2" fontId="0" fillId="0" borderId="9" xfId="0" applyNumberFormat="1" applyBorder="1"/>
    <xf numFmtId="1" fontId="0" fillId="0" borderId="9" xfId="0" applyNumberFormat="1" applyBorder="1"/>
    <xf numFmtId="1" fontId="0" fillId="0" borderId="10" xfId="0" applyNumberFormat="1" applyBorder="1"/>
    <xf numFmtId="1" fontId="0" fillId="0" borderId="11" xfId="0" applyNumberFormat="1" applyBorder="1"/>
    <xf numFmtId="1" fontId="0" fillId="0" borderId="12" xfId="0" applyNumberFormat="1" applyBorder="1"/>
    <xf numFmtId="9" fontId="0" fillId="0" borderId="13" xfId="2" applyFont="1" applyBorder="1" applyProtection="1"/>
    <xf numFmtId="0" fontId="0" fillId="0" borderId="0" xfId="0" applyAlignment="1">
      <alignment horizontal="center" vertical="center"/>
    </xf>
    <xf numFmtId="0" fontId="4" fillId="2" borderId="14" xfId="22" applyFont="1" applyFill="1" applyBorder="1" applyAlignment="1">
      <alignment horizontal="center" vertical="center" wrapText="1"/>
    </xf>
    <xf numFmtId="2" fontId="4" fillId="2" borderId="15" xfId="22" applyNumberFormat="1" applyFont="1" applyFill="1" applyBorder="1" applyAlignment="1">
      <alignment horizontal="center" vertical="center" wrapText="1"/>
    </xf>
    <xf numFmtId="2" fontId="4" fillId="2" borderId="16" xfId="22" applyNumberFormat="1" applyFont="1" applyFill="1" applyBorder="1" applyAlignment="1">
      <alignment horizontal="center" vertical="center" wrapText="1"/>
    </xf>
    <xf numFmtId="2" fontId="4" fillId="3" borderId="7" xfId="22" applyNumberFormat="1" applyFont="1" applyFill="1" applyBorder="1" applyAlignment="1">
      <alignment horizontal="center" vertical="center"/>
    </xf>
    <xf numFmtId="2" fontId="4" fillId="3" borderId="1" xfId="22" applyNumberFormat="1" applyFont="1" applyFill="1" applyBorder="1" applyAlignment="1">
      <alignment horizontal="center" vertical="center"/>
    </xf>
    <xf numFmtId="0" fontId="0" fillId="3" borderId="1" xfId="23" applyFont="1" applyFill="1" applyBorder="1" applyAlignment="1">
      <alignment horizontal="center" vertical="center"/>
    </xf>
    <xf numFmtId="2" fontId="0" fillId="3" borderId="1" xfId="23" applyNumberFormat="1" applyFont="1" applyFill="1" applyBorder="1" applyAlignment="1">
      <alignment horizontal="center" vertical="center"/>
    </xf>
    <xf numFmtId="2" fontId="0" fillId="3" borderId="0" xfId="23" applyNumberFormat="1" applyFont="1" applyFill="1" applyAlignment="1">
      <alignment horizontal="center" vertical="center"/>
    </xf>
    <xf numFmtId="0" fontId="4" fillId="3" borderId="5" xfId="22" applyFont="1" applyFill="1" applyBorder="1" applyAlignment="1">
      <alignment horizontal="center" vertical="center"/>
    </xf>
    <xf numFmtId="2" fontId="4" fillId="3" borderId="1" xfId="22" applyNumberFormat="1" applyFont="1" applyFill="1" applyBorder="1" applyAlignment="1">
      <alignment horizontal="center" vertical="center" wrapText="1"/>
    </xf>
    <xf numFmtId="2" fontId="4" fillId="3" borderId="6" xfId="22" applyNumberFormat="1" applyFont="1" applyFill="1" applyBorder="1" applyAlignment="1">
      <alignment horizontal="center" vertical="center" wrapText="1"/>
    </xf>
    <xf numFmtId="0" fontId="4" fillId="3" borderId="1" xfId="22" applyFont="1" applyFill="1" applyBorder="1" applyAlignment="1">
      <alignment horizontal="center" vertical="center" wrapText="1"/>
    </xf>
    <xf numFmtId="2" fontId="0" fillId="3" borderId="1" xfId="22" applyNumberFormat="1" applyFont="1" applyFill="1" applyBorder="1" applyAlignment="1">
      <alignment horizontal="center" vertical="center" wrapText="1"/>
    </xf>
    <xf numFmtId="9" fontId="0" fillId="3" borderId="1" xfId="22" applyNumberFormat="1" applyFont="1" applyFill="1" applyBorder="1" applyAlignment="1">
      <alignment horizontal="center" vertical="center"/>
    </xf>
    <xf numFmtId="0" fontId="4" fillId="3" borderId="17" xfId="22" applyFont="1" applyFill="1" applyBorder="1" applyAlignment="1">
      <alignment horizontal="center" vertical="center"/>
    </xf>
    <xf numFmtId="2" fontId="0" fillId="3" borderId="18" xfId="22" applyNumberFormat="1" applyFont="1" applyFill="1" applyBorder="1" applyAlignment="1">
      <alignment horizontal="center" vertical="center"/>
    </xf>
    <xf numFmtId="2" fontId="0" fillId="3" borderId="19" xfId="22" applyNumberFormat="1" applyFont="1" applyFill="1" applyBorder="1" applyAlignment="1">
      <alignment horizontal="center" vertical="center"/>
    </xf>
    <xf numFmtId="0" fontId="0" fillId="3" borderId="20" xfId="23" applyFont="1" applyFill="1" applyBorder="1" applyAlignment="1">
      <alignment horizontal="center" vertical="center"/>
    </xf>
    <xf numFmtId="0" fontId="0" fillId="3" borderId="18" xfId="23" applyFont="1" applyFill="1" applyBorder="1" applyAlignment="1">
      <alignment horizontal="center" vertical="center"/>
    </xf>
    <xf numFmtId="2" fontId="4" fillId="3" borderId="18" xfId="22" applyNumberFormat="1" applyFont="1" applyFill="1" applyBorder="1" applyAlignment="1">
      <alignment horizontal="center" vertical="center"/>
    </xf>
    <xf numFmtId="2" fontId="0" fillId="3" borderId="18" xfId="23" applyNumberFormat="1" applyFont="1" applyFill="1" applyBorder="1" applyAlignment="1">
      <alignment horizontal="center" vertical="center"/>
    </xf>
    <xf numFmtId="0" fontId="0" fillId="3" borderId="21" xfId="23" applyFont="1" applyFill="1" applyBorder="1" applyAlignment="1">
      <alignment horizontal="center" vertical="center"/>
    </xf>
    <xf numFmtId="0" fontId="4" fillId="2" borderId="22" xfId="22" applyFont="1" applyFill="1" applyBorder="1" applyAlignment="1">
      <alignment horizontal="center" vertical="center" wrapText="1"/>
    </xf>
    <xf numFmtId="2" fontId="4" fillId="2" borderId="23" xfId="22" applyNumberFormat="1" applyFont="1" applyFill="1" applyBorder="1" applyAlignment="1">
      <alignment horizontal="center" vertical="center" wrapText="1"/>
    </xf>
    <xf numFmtId="0" fontId="4" fillId="2" borderId="23" xfId="23" applyFont="1" applyFill="1" applyBorder="1" applyAlignment="1">
      <alignment horizontal="center" vertical="center" wrapText="1"/>
    </xf>
    <xf numFmtId="2" fontId="4" fillId="5" borderId="23" xfId="22" applyNumberFormat="1" applyFont="1" applyFill="1" applyBorder="1" applyAlignment="1">
      <alignment horizontal="center" vertical="center" wrapText="1"/>
    </xf>
    <xf numFmtId="2" fontId="4" fillId="2" borderId="24" xfId="22" applyNumberFormat="1" applyFont="1" applyFill="1" applyBorder="1" applyAlignment="1">
      <alignment horizontal="center" vertical="center" wrapText="1"/>
    </xf>
    <xf numFmtId="2" fontId="4" fillId="5" borderId="24" xfId="22" applyNumberFormat="1" applyFont="1" applyFill="1" applyBorder="1" applyAlignment="1">
      <alignment horizontal="center" vertical="center" wrapText="1"/>
    </xf>
    <xf numFmtId="2" fontId="4" fillId="2" borderId="25" xfId="22" applyNumberFormat="1" applyFont="1" applyFill="1" applyBorder="1" applyAlignment="1">
      <alignment horizontal="center" vertical="center" wrapText="1"/>
    </xf>
    <xf numFmtId="2" fontId="4" fillId="2" borderId="23" xfId="23" applyNumberFormat="1" applyFont="1" applyFill="1" applyBorder="1" applyAlignment="1">
      <alignment horizontal="center" vertical="center" wrapText="1"/>
    </xf>
    <xf numFmtId="2" fontId="4" fillId="2" borderId="24" xfId="23" applyNumberFormat="1" applyFont="1" applyFill="1" applyBorder="1" applyAlignment="1">
      <alignment horizontal="center" vertical="center" wrapText="1"/>
    </xf>
    <xf numFmtId="2" fontId="4" fillId="3" borderId="0" xfId="23" applyNumberFormat="1" applyFont="1" applyFill="1" applyAlignment="1">
      <alignment horizontal="center" vertical="center"/>
    </xf>
    <xf numFmtId="0" fontId="5" fillId="3" borderId="26" xfId="22" applyFont="1" applyFill="1" applyBorder="1" applyAlignment="1">
      <alignment horizontal="center" vertical="center"/>
    </xf>
    <xf numFmtId="2" fontId="5" fillId="3" borderId="26" xfId="22" applyNumberFormat="1" applyFont="1" applyFill="1" applyBorder="1" applyAlignment="1">
      <alignment horizontal="center" vertical="center" wrapText="1"/>
    </xf>
    <xf numFmtId="2" fontId="6" fillId="3" borderId="26" xfId="23" applyNumberFormat="1" applyFont="1" applyFill="1" applyBorder="1" applyAlignment="1">
      <alignment horizontal="center" vertical="center"/>
    </xf>
    <xf numFmtId="2" fontId="6" fillId="3" borderId="0" xfId="23" applyNumberFormat="1" applyFont="1" applyFill="1" applyAlignment="1">
      <alignment horizontal="center" vertical="center"/>
    </xf>
    <xf numFmtId="0" fontId="0" fillId="3" borderId="1" xfId="22" applyFont="1" applyFill="1" applyBorder="1" applyAlignment="1">
      <alignment horizontal="center" vertical="center" wrapText="1"/>
    </xf>
    <xf numFmtId="0" fontId="0" fillId="6" borderId="1" xfId="23" applyFont="1" applyFill="1" applyBorder="1" applyAlignment="1">
      <alignment horizontal="center" vertical="center"/>
    </xf>
    <xf numFmtId="0" fontId="0" fillId="3" borderId="1" xfId="23" applyFont="1" applyFill="1" applyBorder="1" applyAlignment="1">
      <alignment horizontal="center" vertical="center" wrapText="1"/>
    </xf>
    <xf numFmtId="2" fontId="7" fillId="3" borderId="1" xfId="22" applyNumberFormat="1" applyFont="1" applyFill="1" applyBorder="1" applyAlignment="1">
      <alignment horizontal="center" vertical="center"/>
    </xf>
    <xf numFmtId="2" fontId="0" fillId="5" borderId="1" xfId="22" applyNumberFormat="1" applyFont="1" applyFill="1" applyBorder="1" applyAlignment="1">
      <alignment horizontal="center" vertical="center"/>
    </xf>
    <xf numFmtId="1" fontId="0" fillId="0" borderId="5" xfId="0" applyNumberFormat="1" applyBorder="1" applyAlignment="1">
      <alignment horizontal="center" vertical="center"/>
    </xf>
    <xf numFmtId="2" fontId="0" fillId="0" borderId="1" xfId="22" applyNumberFormat="1" applyFont="1" applyBorder="1" applyAlignment="1">
      <alignment horizontal="center" vertical="center"/>
    </xf>
    <xf numFmtId="1" fontId="0" fillId="0" borderId="1" xfId="0" applyNumberFormat="1" applyBorder="1" applyAlignment="1">
      <alignment horizontal="center" vertical="center"/>
    </xf>
    <xf numFmtId="2" fontId="0" fillId="3" borderId="1" xfId="22" applyNumberFormat="1" applyFont="1" applyFill="1" applyBorder="1" applyAlignment="1">
      <alignment horizontal="center" vertical="center"/>
    </xf>
    <xf numFmtId="0" fontId="4" fillId="5" borderId="1" xfId="22" applyFont="1" applyFill="1" applyBorder="1" applyAlignment="1">
      <alignment horizontal="center" vertical="center"/>
    </xf>
    <xf numFmtId="2" fontId="4" fillId="5" borderId="1" xfId="22" applyNumberFormat="1" applyFont="1" applyFill="1" applyBorder="1" applyAlignment="1">
      <alignment horizontal="center" vertical="center"/>
    </xf>
    <xf numFmtId="0" fontId="0" fillId="5" borderId="1" xfId="23" applyFont="1" applyFill="1" applyBorder="1" applyAlignment="1">
      <alignment horizontal="center" vertical="center"/>
    </xf>
    <xf numFmtId="2" fontId="4" fillId="2" borderId="1" xfId="22" applyNumberFormat="1" applyFont="1" applyFill="1" applyBorder="1" applyAlignment="1">
      <alignment horizontal="center" vertical="center"/>
    </xf>
    <xf numFmtId="2" fontId="0" fillId="0" borderId="0" xfId="0" applyNumberFormat="1" applyAlignment="1">
      <alignment horizontal="center" vertical="center"/>
    </xf>
    <xf numFmtId="0" fontId="9" fillId="0" borderId="0" xfId="24" applyFont="1" applyAlignment="1">
      <alignment vertical="center"/>
    </xf>
    <xf numFmtId="165" fontId="9" fillId="0" borderId="0" xfId="24" applyNumberFormat="1" applyFont="1" applyAlignment="1">
      <alignment vertical="center"/>
    </xf>
    <xf numFmtId="2" fontId="9" fillId="0" borderId="0" xfId="24" applyNumberFormat="1" applyFont="1" applyAlignment="1">
      <alignment vertical="center"/>
    </xf>
    <xf numFmtId="2" fontId="9" fillId="0" borderId="0" xfId="24" applyNumberFormat="1" applyFont="1" applyAlignment="1">
      <alignment horizontal="center" vertical="center"/>
    </xf>
    <xf numFmtId="166" fontId="9" fillId="0" borderId="0" xfId="3" applyNumberFormat="1" applyFont="1" applyBorder="1" applyAlignment="1" applyProtection="1">
      <alignment vertical="center"/>
    </xf>
    <xf numFmtId="0" fontId="9" fillId="0" borderId="0" xfId="24" applyFont="1" applyAlignment="1">
      <alignment horizontal="left" vertical="center"/>
    </xf>
    <xf numFmtId="0" fontId="10" fillId="4" borderId="0" xfId="24" applyFont="1" applyFill="1" applyAlignment="1">
      <alignment vertical="center"/>
    </xf>
    <xf numFmtId="0" fontId="10" fillId="4" borderId="0" xfId="25" applyFont="1" applyFill="1" applyAlignment="1">
      <alignment vertical="center"/>
    </xf>
    <xf numFmtId="0" fontId="11" fillId="4" borderId="0" xfId="25" applyFont="1" applyFill="1" applyAlignment="1">
      <alignment vertical="center"/>
    </xf>
    <xf numFmtId="165" fontId="10" fillId="4" borderId="0" xfId="25" applyNumberFormat="1" applyFont="1" applyFill="1" applyAlignment="1">
      <alignment vertical="center"/>
    </xf>
    <xf numFmtId="2" fontId="10" fillId="4" borderId="0" xfId="25" applyNumberFormat="1" applyFont="1" applyFill="1" applyAlignment="1">
      <alignment vertical="center"/>
    </xf>
    <xf numFmtId="2" fontId="10" fillId="4" borderId="0" xfId="25" applyNumberFormat="1" applyFont="1" applyFill="1" applyAlignment="1">
      <alignment horizontal="center" vertical="center"/>
    </xf>
    <xf numFmtId="165" fontId="10" fillId="4" borderId="0" xfId="26" applyNumberFormat="1" applyFont="1" applyFill="1" applyAlignment="1">
      <alignment vertical="center"/>
    </xf>
    <xf numFmtId="2" fontId="10" fillId="4" borderId="0" xfId="26" applyNumberFormat="1" applyFont="1" applyFill="1" applyAlignment="1">
      <alignment horizontal="center" vertical="center"/>
    </xf>
    <xf numFmtId="2" fontId="10" fillId="4" borderId="0" xfId="26" applyNumberFormat="1" applyFont="1" applyFill="1" applyAlignment="1">
      <alignment horizontal="left" vertical="center"/>
    </xf>
    <xf numFmtId="9" fontId="10" fillId="4" borderId="0" xfId="20" applyFont="1" applyFill="1" applyBorder="1" applyAlignment="1" applyProtection="1">
      <alignment horizontal="center" vertical="center"/>
    </xf>
    <xf numFmtId="167" fontId="10" fillId="4" borderId="1" xfId="24" applyNumberFormat="1" applyFont="1" applyFill="1" applyBorder="1" applyAlignment="1">
      <alignment horizontal="center" vertical="center"/>
    </xf>
    <xf numFmtId="166" fontId="10" fillId="4" borderId="0" xfId="3" applyNumberFormat="1" applyFont="1" applyFill="1" applyBorder="1" applyAlignment="1" applyProtection="1">
      <alignment horizontal="center" vertical="center"/>
    </xf>
    <xf numFmtId="0" fontId="10" fillId="4" borderId="0" xfId="24" applyFont="1" applyFill="1" applyAlignment="1">
      <alignment horizontal="left" vertical="center"/>
    </xf>
    <xf numFmtId="0" fontId="10" fillId="4" borderId="1" xfId="25" applyFont="1" applyFill="1" applyBorder="1" applyAlignment="1">
      <alignment horizontal="center" vertical="center" wrapText="1"/>
    </xf>
    <xf numFmtId="0" fontId="10" fillId="4" borderId="1" xfId="24" applyFont="1" applyFill="1" applyBorder="1" applyAlignment="1">
      <alignment vertical="center"/>
    </xf>
    <xf numFmtId="0" fontId="10" fillId="4" borderId="1" xfId="25" applyFont="1" applyFill="1" applyBorder="1" applyAlignment="1">
      <alignment horizontal="center" vertical="center"/>
    </xf>
    <xf numFmtId="2" fontId="11" fillId="4" borderId="1" xfId="25" applyNumberFormat="1" applyFont="1" applyFill="1" applyBorder="1" applyAlignment="1">
      <alignment horizontal="center" vertical="center" wrapText="1"/>
    </xf>
    <xf numFmtId="165" fontId="10" fillId="4" borderId="1" xfId="25" applyNumberFormat="1" applyFont="1" applyFill="1" applyBorder="1" applyAlignment="1">
      <alignment horizontal="center" vertical="center" wrapText="1"/>
    </xf>
    <xf numFmtId="0" fontId="10" fillId="4" borderId="1" xfId="27" applyFont="1" applyFill="1" applyBorder="1" applyAlignment="1">
      <alignment horizontal="center" vertical="center" wrapText="1"/>
    </xf>
    <xf numFmtId="165" fontId="11" fillId="4" borderId="1" xfId="25" applyNumberFormat="1" applyFont="1" applyFill="1" applyBorder="1" applyAlignment="1">
      <alignment horizontal="center" vertical="center" wrapText="1"/>
    </xf>
    <xf numFmtId="0" fontId="10" fillId="4" borderId="1" xfId="24" applyFont="1" applyFill="1" applyBorder="1" applyAlignment="1">
      <alignment vertical="center" wrapText="1"/>
    </xf>
    <xf numFmtId="0" fontId="10" fillId="4" borderId="1" xfId="24" applyFont="1" applyFill="1" applyBorder="1" applyAlignment="1">
      <alignment horizontal="center" vertical="center" wrapText="1"/>
    </xf>
    <xf numFmtId="0" fontId="10" fillId="4" borderId="1" xfId="24" applyFont="1" applyFill="1" applyBorder="1" applyAlignment="1">
      <alignment horizontal="left" vertical="center" wrapText="1"/>
    </xf>
    <xf numFmtId="0" fontId="9" fillId="0" borderId="1" xfId="24" applyFont="1" applyBorder="1" applyAlignment="1">
      <alignment horizontal="left" vertical="center"/>
    </xf>
    <xf numFmtId="171" fontId="9" fillId="0" borderId="1" xfId="24" applyNumberFormat="1" applyFont="1" applyBorder="1" applyAlignment="1">
      <alignment horizontal="left" vertical="center"/>
    </xf>
    <xf numFmtId="0" fontId="13" fillId="0" borderId="1" xfId="0" applyFont="1" applyBorder="1" applyAlignment="1">
      <alignment horizontal="left" vertical="center"/>
    </xf>
    <xf numFmtId="0" fontId="9" fillId="0" borderId="1" xfId="23" applyFont="1" applyBorder="1" applyAlignment="1">
      <alignment horizontal="left" vertical="center"/>
    </xf>
    <xf numFmtId="171" fontId="12" fillId="0" borderId="1" xfId="23" applyNumberFormat="1"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xf>
    <xf numFmtId="0" fontId="12" fillId="0" borderId="1" xfId="23" applyFont="1" applyBorder="1" applyAlignment="1">
      <alignment horizontal="left" vertical="center"/>
    </xf>
    <xf numFmtId="14" fontId="9" fillId="0" borderId="1" xfId="24" applyNumberFormat="1" applyFont="1" applyBorder="1" applyAlignment="1">
      <alignment horizontal="left" vertical="center"/>
    </xf>
    <xf numFmtId="0" fontId="20" fillId="4" borderId="0" xfId="24" applyFont="1" applyFill="1" applyAlignment="1">
      <alignment horizontal="left" vertical="center"/>
    </xf>
    <xf numFmtId="0" fontId="20" fillId="4" borderId="0" xfId="25" applyFont="1" applyFill="1" applyAlignment="1">
      <alignment horizontal="left" vertical="center"/>
    </xf>
    <xf numFmtId="0" fontId="21" fillId="4" borderId="0" xfId="25" applyFont="1" applyFill="1" applyAlignment="1">
      <alignment horizontal="left" vertical="center"/>
    </xf>
    <xf numFmtId="165" fontId="20" fillId="4" borderId="0" xfId="25" applyNumberFormat="1" applyFont="1" applyFill="1" applyAlignment="1">
      <alignment horizontal="left" vertical="center"/>
    </xf>
    <xf numFmtId="2" fontId="20" fillId="4" borderId="0" xfId="25" applyNumberFormat="1" applyFont="1" applyFill="1" applyAlignment="1">
      <alignment horizontal="left" vertical="center"/>
    </xf>
    <xf numFmtId="165" fontId="20" fillId="4" borderId="0" xfId="26" applyNumberFormat="1" applyFont="1" applyFill="1" applyAlignment="1">
      <alignment horizontal="left" vertical="center"/>
    </xf>
    <xf numFmtId="2" fontId="20" fillId="4" borderId="0" xfId="26" applyNumberFormat="1" applyFont="1" applyFill="1" applyAlignment="1">
      <alignment horizontal="left" vertical="center"/>
    </xf>
    <xf numFmtId="9" fontId="20" fillId="4" borderId="0" xfId="20" applyFont="1" applyFill="1" applyBorder="1" applyAlignment="1" applyProtection="1">
      <alignment horizontal="left" vertical="center"/>
    </xf>
    <xf numFmtId="167" fontId="20" fillId="4" borderId="18" xfId="24" applyNumberFormat="1" applyFont="1" applyFill="1" applyBorder="1" applyAlignment="1">
      <alignment horizontal="left" vertical="center"/>
    </xf>
    <xf numFmtId="166" fontId="20" fillId="4" borderId="0" xfId="3" applyNumberFormat="1" applyFont="1" applyFill="1" applyBorder="1" applyAlignment="1" applyProtection="1">
      <alignment horizontal="left" vertical="center"/>
    </xf>
    <xf numFmtId="0" fontId="4" fillId="4" borderId="1" xfId="24" applyFont="1" applyFill="1" applyBorder="1" applyAlignment="1">
      <alignment horizontal="left" vertical="center"/>
    </xf>
    <xf numFmtId="0" fontId="4" fillId="4" borderId="1" xfId="25" applyFont="1" applyFill="1" applyBorder="1" applyAlignment="1">
      <alignment horizontal="left" vertical="center"/>
    </xf>
    <xf numFmtId="0" fontId="4" fillId="4" borderId="1" xfId="25" applyFont="1" applyFill="1" applyBorder="1" applyAlignment="1">
      <alignment horizontal="left" vertical="center" wrapText="1"/>
    </xf>
    <xf numFmtId="0" fontId="4" fillId="4" borderId="8" xfId="24" applyFont="1" applyFill="1" applyBorder="1" applyAlignment="1">
      <alignment horizontal="left" vertical="center"/>
    </xf>
    <xf numFmtId="0" fontId="6" fillId="0" borderId="0" xfId="24" applyFont="1" applyAlignment="1">
      <alignment vertical="center"/>
    </xf>
    <xf numFmtId="2" fontId="22" fillId="4" borderId="1" xfId="25" applyNumberFormat="1" applyFont="1" applyFill="1" applyBorder="1" applyAlignment="1">
      <alignment horizontal="left" vertical="center" wrapText="1"/>
    </xf>
    <xf numFmtId="165" fontId="4" fillId="4" borderId="1" xfId="25" applyNumberFormat="1" applyFont="1" applyFill="1" applyBorder="1" applyAlignment="1">
      <alignment horizontal="left" vertical="center" wrapText="1"/>
    </xf>
    <xf numFmtId="0" fontId="4" fillId="4" borderId="1" xfId="27" applyFont="1" applyFill="1" applyBorder="1" applyAlignment="1">
      <alignment horizontal="left" vertical="center" wrapText="1"/>
    </xf>
    <xf numFmtId="165" fontId="22" fillId="4" borderId="1" xfId="25" applyNumberFormat="1" applyFont="1" applyFill="1" applyBorder="1" applyAlignment="1">
      <alignment horizontal="left" vertical="center" wrapText="1"/>
    </xf>
    <xf numFmtId="0" fontId="4" fillId="4" borderId="1" xfId="24" applyFont="1" applyFill="1" applyBorder="1" applyAlignment="1">
      <alignment horizontal="left" vertical="center" wrapText="1"/>
    </xf>
    <xf numFmtId="0" fontId="23" fillId="0" borderId="1" xfId="17" applyFont="1" applyBorder="1" applyAlignment="1">
      <alignment horizontal="center" vertical="center"/>
    </xf>
    <xf numFmtId="0" fontId="24" fillId="0" borderId="1" xfId="25" applyFont="1" applyBorder="1" applyAlignment="1">
      <alignment horizontal="left" vertical="center"/>
    </xf>
    <xf numFmtId="0" fontId="24" fillId="0" borderId="1" xfId="25" applyFont="1" applyBorder="1" applyAlignment="1">
      <alignment horizontal="center" vertical="center"/>
    </xf>
    <xf numFmtId="0" fontId="24" fillId="0" borderId="1" xfId="25" applyFont="1" applyBorder="1" applyAlignment="1">
      <alignment horizontal="center" vertical="center" wrapText="1"/>
    </xf>
    <xf numFmtId="0" fontId="24" fillId="0" borderId="1" xfId="24" applyFont="1" applyBorder="1" applyAlignment="1">
      <alignment horizontal="center" vertical="center"/>
    </xf>
    <xf numFmtId="168" fontId="24" fillId="0" borderId="1" xfId="24" applyNumberFormat="1" applyFont="1" applyBorder="1" applyAlignment="1">
      <alignment horizontal="center" vertical="center"/>
    </xf>
    <xf numFmtId="0" fontId="24" fillId="0" borderId="1" xfId="27" applyFont="1" applyBorder="1" applyAlignment="1">
      <alignment horizontal="center" vertical="center"/>
    </xf>
    <xf numFmtId="2" fontId="23" fillId="0" borderId="1" xfId="25" applyNumberFormat="1" applyFont="1" applyBorder="1" applyAlignment="1">
      <alignment horizontal="center" vertical="center" wrapText="1"/>
    </xf>
    <xf numFmtId="165" fontId="23" fillId="0" borderId="1" xfId="25" applyNumberFormat="1" applyFont="1" applyBorder="1" applyAlignment="1">
      <alignment horizontal="center" vertical="center"/>
    </xf>
    <xf numFmtId="0" fontId="24" fillId="0" borderId="1" xfId="23" applyFont="1" applyBorder="1" applyAlignment="1">
      <alignment horizontal="left" vertical="center"/>
    </xf>
    <xf numFmtId="0" fontId="23" fillId="0" borderId="1" xfId="0" applyFont="1" applyBorder="1" applyAlignment="1">
      <alignment horizontal="left" vertical="center"/>
    </xf>
    <xf numFmtId="0" fontId="24" fillId="0" borderId="1" xfId="0" applyFont="1" applyBorder="1" applyAlignment="1">
      <alignment horizontal="left" vertical="center"/>
    </xf>
    <xf numFmtId="0" fontId="24" fillId="0" borderId="1" xfId="24" applyFont="1" applyBorder="1" applyAlignment="1">
      <alignment horizontal="left" vertical="center"/>
    </xf>
    <xf numFmtId="0" fontId="25" fillId="0" borderId="1" xfId="24" applyFont="1" applyBorder="1" applyAlignment="1">
      <alignment horizontal="center" vertical="center"/>
    </xf>
    <xf numFmtId="0" fontId="24" fillId="0" borderId="1" xfId="24" applyFont="1" applyBorder="1" applyAlignment="1">
      <alignment horizontal="center" vertical="center" wrapText="1"/>
    </xf>
    <xf numFmtId="2" fontId="24" fillId="0" borderId="1" xfId="24" applyNumberFormat="1" applyFont="1" applyBorder="1" applyAlignment="1">
      <alignment horizontal="center" vertical="center" wrapText="1"/>
    </xf>
    <xf numFmtId="0" fontId="23" fillId="0" borderId="1" xfId="7" applyFont="1" applyBorder="1" applyAlignment="1" applyProtection="1">
      <alignment horizontal="center" vertical="center"/>
    </xf>
    <xf numFmtId="169" fontId="24" fillId="0" borderId="1" xfId="24" applyNumberFormat="1" applyFont="1" applyBorder="1" applyAlignment="1">
      <alignment horizontal="center" vertical="center"/>
    </xf>
    <xf numFmtId="2" fontId="24" fillId="0" borderId="1" xfId="25" applyNumberFormat="1" applyFont="1" applyBorder="1" applyAlignment="1">
      <alignment horizontal="center" vertical="center"/>
    </xf>
    <xf numFmtId="2" fontId="23" fillId="0" borderId="1" xfId="17" applyNumberFormat="1" applyFont="1" applyBorder="1" applyAlignment="1">
      <alignment horizontal="center" vertical="center"/>
    </xf>
    <xf numFmtId="2" fontId="24" fillId="0" borderId="1" xfId="24" applyNumberFormat="1" applyFont="1" applyBorder="1" applyAlignment="1">
      <alignment horizontal="center" vertical="center"/>
    </xf>
    <xf numFmtId="165" fontId="24" fillId="0" borderId="1" xfId="24" applyNumberFormat="1" applyFont="1" applyBorder="1" applyAlignment="1">
      <alignment horizontal="center" vertical="center"/>
    </xf>
    <xf numFmtId="169" fontId="24" fillId="0" borderId="1" xfId="3" applyNumberFormat="1" applyFont="1" applyBorder="1" applyAlignment="1" applyProtection="1">
      <alignment horizontal="center" vertical="center"/>
    </xf>
    <xf numFmtId="166" fontId="24" fillId="0" borderId="1" xfId="3" applyNumberFormat="1" applyFont="1" applyBorder="1" applyAlignment="1" applyProtection="1">
      <alignment horizontal="center" vertical="center" wrapText="1"/>
    </xf>
    <xf numFmtId="167" fontId="24" fillId="0" borderId="1" xfId="3" applyNumberFormat="1" applyFont="1" applyBorder="1" applyAlignment="1" applyProtection="1">
      <alignment horizontal="center" vertical="center"/>
    </xf>
    <xf numFmtId="0" fontId="23" fillId="0" borderId="1" xfId="24" applyFont="1" applyBorder="1" applyAlignment="1">
      <alignment horizontal="center" vertical="center"/>
    </xf>
    <xf numFmtId="171" fontId="24" fillId="0" borderId="1" xfId="24" applyNumberFormat="1" applyFont="1" applyBorder="1" applyAlignment="1">
      <alignment horizontal="center" vertical="center"/>
    </xf>
    <xf numFmtId="0" fontId="24" fillId="0" borderId="1" xfId="7" applyFont="1" applyBorder="1" applyAlignment="1" applyProtection="1">
      <alignment horizontal="center" vertical="center"/>
    </xf>
    <xf numFmtId="0" fontId="23" fillId="0" borderId="1" xfId="23" applyFont="1" applyBorder="1" applyAlignment="1">
      <alignment horizontal="left" vertical="center"/>
    </xf>
    <xf numFmtId="0" fontId="24" fillId="0" borderId="1" xfId="23" applyFont="1" applyBorder="1" applyAlignment="1">
      <alignment horizontal="center" vertical="center"/>
    </xf>
    <xf numFmtId="170" fontId="24" fillId="0" borderId="1" xfId="1" applyNumberFormat="1" applyFont="1" applyBorder="1" applyAlignment="1" applyProtection="1">
      <alignment horizontal="center" vertical="center"/>
    </xf>
    <xf numFmtId="0" fontId="24" fillId="0" borderId="1" xfId="28" applyFont="1" applyBorder="1" applyAlignment="1">
      <alignment horizontal="center" vertical="center"/>
    </xf>
    <xf numFmtId="166" fontId="24" fillId="0" borderId="1" xfId="3" applyNumberFormat="1" applyFont="1" applyBorder="1" applyAlignment="1" applyProtection="1">
      <alignment horizontal="center" vertical="center"/>
    </xf>
    <xf numFmtId="1" fontId="24" fillId="0" borderId="1" xfId="23" applyNumberFormat="1" applyFont="1" applyBorder="1" applyAlignment="1">
      <alignment horizontal="center" vertical="center"/>
    </xf>
    <xf numFmtId="2" fontId="24" fillId="0" borderId="1" xfId="7" applyNumberFormat="1" applyFont="1" applyBorder="1" applyAlignment="1" applyProtection="1">
      <alignment horizontal="center" vertical="center"/>
    </xf>
    <xf numFmtId="0" fontId="24" fillId="0" borderId="1" xfId="0" applyFont="1" applyBorder="1" applyAlignment="1">
      <alignment horizontal="center"/>
    </xf>
    <xf numFmtId="170" fontId="24" fillId="0" borderId="1" xfId="24" applyNumberFormat="1" applyFont="1" applyBorder="1" applyAlignment="1">
      <alignment horizontal="center" vertical="center"/>
    </xf>
    <xf numFmtId="0" fontId="24" fillId="0" borderId="1" xfId="28" applyFont="1" applyBorder="1" applyAlignment="1">
      <alignment horizontal="center" vertical="center" wrapText="1"/>
    </xf>
    <xf numFmtId="0" fontId="23" fillId="0" borderId="1" xfId="0" applyFont="1" applyBorder="1" applyAlignment="1">
      <alignment horizontal="left"/>
    </xf>
    <xf numFmtId="165" fontId="9" fillId="0" borderId="1" xfId="24" applyNumberFormat="1" applyFont="1" applyBorder="1" applyAlignment="1">
      <alignment horizontal="left" vertical="center"/>
    </xf>
    <xf numFmtId="2" fontId="9" fillId="0" borderId="1" xfId="24" applyNumberFormat="1" applyFont="1" applyBorder="1" applyAlignment="1">
      <alignment horizontal="left" vertical="center"/>
    </xf>
    <xf numFmtId="166" fontId="9" fillId="0" borderId="1" xfId="3" applyNumberFormat="1" applyFont="1" applyBorder="1" applyAlignment="1" applyProtection="1">
      <alignment horizontal="left" vertical="center"/>
    </xf>
    <xf numFmtId="0" fontId="12" fillId="0" borderId="1" xfId="17" applyFont="1" applyBorder="1" applyAlignment="1">
      <alignment horizontal="left" vertical="center"/>
    </xf>
    <xf numFmtId="0" fontId="9" fillId="0" borderId="1" xfId="28" applyFont="1" applyBorder="1" applyAlignment="1">
      <alignment horizontal="left" vertical="center" wrapText="1"/>
    </xf>
    <xf numFmtId="0" fontId="9" fillId="0" borderId="1" xfId="24" applyFont="1" applyBorder="1" applyAlignment="1">
      <alignment horizontal="left" vertical="center" wrapText="1"/>
    </xf>
    <xf numFmtId="0" fontId="12" fillId="0" borderId="1" xfId="7" applyFont="1" applyBorder="1" applyAlignment="1" applyProtection="1">
      <alignment horizontal="left" vertical="center"/>
    </xf>
    <xf numFmtId="168" fontId="9" fillId="0" borderId="1" xfId="24" applyNumberFormat="1" applyFont="1" applyBorder="1" applyAlignment="1">
      <alignment horizontal="left" vertical="center"/>
    </xf>
    <xf numFmtId="169" fontId="9" fillId="0" borderId="1" xfId="24" applyNumberFormat="1" applyFont="1" applyBorder="1" applyAlignment="1">
      <alignment horizontal="left" vertical="center"/>
    </xf>
    <xf numFmtId="2" fontId="9" fillId="0" borderId="1" xfId="25" applyNumberFormat="1" applyFont="1" applyBorder="1" applyAlignment="1">
      <alignment horizontal="left" vertical="center"/>
    </xf>
    <xf numFmtId="2" fontId="12" fillId="0" borderId="1" xfId="17" applyNumberFormat="1" applyFont="1" applyBorder="1" applyAlignment="1">
      <alignment horizontal="left" vertical="center"/>
    </xf>
    <xf numFmtId="169" fontId="9" fillId="0" borderId="1" xfId="3" applyNumberFormat="1" applyFont="1" applyBorder="1" applyAlignment="1" applyProtection="1">
      <alignment horizontal="left" vertical="center"/>
    </xf>
    <xf numFmtId="2" fontId="11" fillId="0" borderId="1" xfId="25" applyNumberFormat="1" applyFont="1" applyBorder="1" applyAlignment="1">
      <alignment horizontal="left" vertical="center" wrapText="1"/>
    </xf>
    <xf numFmtId="2" fontId="9" fillId="0" borderId="1" xfId="24" applyNumberFormat="1" applyFont="1" applyBorder="1" applyAlignment="1">
      <alignment horizontal="left" vertical="center" wrapText="1"/>
    </xf>
    <xf numFmtId="166" fontId="9" fillId="0" borderId="1" xfId="3" applyNumberFormat="1" applyFont="1" applyBorder="1" applyAlignment="1" applyProtection="1">
      <alignment horizontal="left" vertical="center" wrapText="1"/>
    </xf>
    <xf numFmtId="170" fontId="9" fillId="0" borderId="1" xfId="24" applyNumberFormat="1" applyFont="1" applyBorder="1" applyAlignment="1">
      <alignment horizontal="left" vertical="center"/>
    </xf>
    <xf numFmtId="167" fontId="9" fillId="0" borderId="1" xfId="3" applyNumberFormat="1" applyFont="1" applyBorder="1" applyAlignment="1" applyProtection="1">
      <alignment horizontal="left" vertical="center"/>
    </xf>
    <xf numFmtId="169" fontId="10" fillId="0" borderId="1" xfId="3" applyNumberFormat="1" applyFont="1" applyBorder="1" applyAlignment="1" applyProtection="1">
      <alignment horizontal="left" vertical="center"/>
    </xf>
    <xf numFmtId="0" fontId="12" fillId="0" borderId="1" xfId="24" applyFont="1" applyBorder="1" applyAlignment="1">
      <alignment horizontal="left" vertical="center"/>
    </xf>
    <xf numFmtId="0" fontId="12" fillId="0" borderId="1" xfId="7" applyFont="1" applyBorder="1" applyAlignment="1" applyProtection="1">
      <alignment horizontal="left"/>
    </xf>
    <xf numFmtId="2" fontId="12" fillId="0" borderId="1" xfId="17" applyNumberFormat="1" applyFont="1" applyBorder="1" applyAlignment="1">
      <alignment horizontal="left"/>
    </xf>
    <xf numFmtId="172" fontId="9" fillId="0" borderId="1" xfId="3" applyNumberFormat="1" applyFont="1" applyBorder="1" applyAlignment="1" applyProtection="1">
      <alignment horizontal="left" vertical="center"/>
    </xf>
    <xf numFmtId="2" fontId="9" fillId="0" borderId="1" xfId="26" applyNumberFormat="1" applyFont="1" applyBorder="1" applyAlignment="1">
      <alignment horizontal="left" vertical="center"/>
    </xf>
    <xf numFmtId="1" fontId="9" fillId="0" borderId="1" xfId="24" applyNumberFormat="1" applyFont="1" applyBorder="1" applyAlignment="1">
      <alignment horizontal="left" vertical="center"/>
    </xf>
    <xf numFmtId="0" fontId="9" fillId="0" borderId="1" xfId="0" applyFont="1" applyBorder="1" applyAlignment="1">
      <alignment horizontal="left"/>
    </xf>
    <xf numFmtId="170" fontId="14" fillId="0" borderId="1" xfId="1" applyNumberFormat="1" applyFont="1" applyBorder="1" applyAlignment="1" applyProtection="1">
      <alignment horizontal="left" vertical="center"/>
    </xf>
    <xf numFmtId="169" fontId="14" fillId="0" borderId="1" xfId="24" applyNumberFormat="1" applyFont="1" applyBorder="1" applyAlignment="1">
      <alignment horizontal="left" vertical="center"/>
    </xf>
    <xf numFmtId="0" fontId="9" fillId="0" borderId="1" xfId="17" applyFont="1" applyBorder="1" applyAlignment="1">
      <alignment horizontal="left"/>
    </xf>
    <xf numFmtId="0" fontId="9" fillId="0" borderId="1" xfId="7" applyFont="1" applyBorder="1" applyAlignment="1" applyProtection="1">
      <alignment horizontal="left" vertical="center"/>
    </xf>
    <xf numFmtId="2" fontId="9" fillId="0" borderId="1" xfId="7" applyNumberFormat="1" applyFont="1" applyBorder="1" applyAlignment="1" applyProtection="1">
      <alignment horizontal="left" vertical="center"/>
    </xf>
    <xf numFmtId="170" fontId="14" fillId="0" borderId="1" xfId="28" applyNumberFormat="1" applyFont="1" applyBorder="1" applyAlignment="1">
      <alignment horizontal="left" vertical="center"/>
    </xf>
    <xf numFmtId="0" fontId="0" fillId="0" borderId="1" xfId="0" applyBorder="1" applyAlignment="1">
      <alignment horizontal="left"/>
    </xf>
    <xf numFmtId="0" fontId="12" fillId="0" borderId="1" xfId="0" applyFont="1" applyBorder="1" applyAlignment="1">
      <alignment horizontal="left" vertical="center" wrapText="1"/>
    </xf>
    <xf numFmtId="0" fontId="9" fillId="0" borderId="1" xfId="28" applyFont="1" applyBorder="1" applyAlignment="1">
      <alignment horizontal="left" vertical="center"/>
    </xf>
    <xf numFmtId="0" fontId="15" fillId="0" borderId="1" xfId="24" applyFont="1" applyBorder="1" applyAlignment="1">
      <alignment horizontal="left" vertical="center"/>
    </xf>
    <xf numFmtId="0" fontId="12" fillId="0" borderId="1" xfId="28" applyFont="1" applyBorder="1" applyAlignment="1">
      <alignment horizontal="left" vertical="center" wrapText="1"/>
    </xf>
    <xf numFmtId="0" fontId="16" fillId="0" borderId="1" xfId="0" applyFont="1" applyBorder="1" applyAlignment="1">
      <alignment horizontal="left"/>
    </xf>
    <xf numFmtId="0" fontId="17" fillId="0" borderId="1" xfId="0" applyFont="1" applyBorder="1" applyAlignment="1">
      <alignment horizontal="left"/>
    </xf>
    <xf numFmtId="170" fontId="9" fillId="0" borderId="1" xfId="3" applyNumberFormat="1" applyFont="1" applyBorder="1" applyAlignment="1" applyProtection="1">
      <alignment horizontal="left" vertical="center"/>
    </xf>
    <xf numFmtId="2" fontId="11" fillId="0" borderId="1" xfId="25" applyNumberFormat="1" applyFont="1" applyBorder="1" applyAlignment="1">
      <alignment horizontal="left" vertical="center"/>
    </xf>
    <xf numFmtId="175" fontId="9" fillId="0" borderId="1" xfId="24" applyNumberFormat="1" applyFont="1" applyBorder="1" applyAlignment="1">
      <alignment horizontal="left" vertical="center"/>
    </xf>
    <xf numFmtId="175" fontId="9" fillId="0" borderId="1" xfId="3" applyNumberFormat="1" applyFont="1" applyBorder="1" applyAlignment="1" applyProtection="1">
      <alignment horizontal="left" vertical="center"/>
    </xf>
    <xf numFmtId="170" fontId="10" fillId="0" borderId="1" xfId="3" applyNumberFormat="1" applyFont="1" applyBorder="1" applyAlignment="1" applyProtection="1">
      <alignment horizontal="left" vertical="center"/>
    </xf>
    <xf numFmtId="176" fontId="9" fillId="0" borderId="1" xfId="24" applyNumberFormat="1" applyFont="1" applyBorder="1" applyAlignment="1">
      <alignment horizontal="left" vertical="center"/>
    </xf>
    <xf numFmtId="0" fontId="18" fillId="0" borderId="1" xfId="0" applyFont="1" applyBorder="1" applyAlignment="1">
      <alignment horizontal="left"/>
    </xf>
    <xf numFmtId="174" fontId="9" fillId="0" borderId="0" xfId="24" applyNumberFormat="1" applyFont="1" applyAlignment="1">
      <alignment horizontal="left" vertical="center"/>
    </xf>
    <xf numFmtId="165" fontId="9" fillId="0" borderId="0" xfId="24" applyNumberFormat="1" applyFont="1" applyAlignment="1">
      <alignment horizontal="left" vertical="center"/>
    </xf>
    <xf numFmtId="2" fontId="9" fillId="0" borderId="0" xfId="24" applyNumberFormat="1" applyFont="1" applyAlignment="1">
      <alignment horizontal="left" vertical="center"/>
    </xf>
    <xf numFmtId="166" fontId="9" fillId="0" borderId="0" xfId="3" applyNumberFormat="1" applyFont="1" applyBorder="1" applyAlignment="1" applyProtection="1">
      <alignment horizontal="left" vertical="center"/>
    </xf>
    <xf numFmtId="0" fontId="0" fillId="0" borderId="1" xfId="0" applyBorder="1" applyAlignment="1">
      <alignment horizontal="center"/>
    </xf>
    <xf numFmtId="2" fontId="0" fillId="0" borderId="1" xfId="0" applyNumberFormat="1" applyBorder="1" applyAlignment="1">
      <alignment horizontal="center"/>
    </xf>
    <xf numFmtId="2" fontId="9" fillId="7" borderId="1" xfId="24" applyNumberFormat="1" applyFont="1" applyFill="1" applyBorder="1" applyAlignment="1">
      <alignment horizontal="left" vertical="center"/>
    </xf>
    <xf numFmtId="0" fontId="9" fillId="7" borderId="1" xfId="28" applyFont="1" applyFill="1" applyBorder="1" applyAlignment="1">
      <alignment horizontal="left" vertical="center"/>
    </xf>
    <xf numFmtId="1" fontId="9" fillId="7" borderId="1" xfId="23" applyNumberFormat="1" applyFont="1" applyFill="1" applyBorder="1" applyAlignment="1">
      <alignment horizontal="left" vertical="center"/>
    </xf>
    <xf numFmtId="0" fontId="9" fillId="7" borderId="1" xfId="23" applyFont="1" applyFill="1" applyBorder="1" applyAlignment="1">
      <alignment horizontal="left" vertical="center"/>
    </xf>
    <xf numFmtId="0" fontId="9" fillId="7" borderId="1" xfId="24" applyFont="1" applyFill="1" applyBorder="1" applyAlignment="1">
      <alignment horizontal="left" vertical="center"/>
    </xf>
    <xf numFmtId="2" fontId="9" fillId="0" borderId="1" xfId="28" applyNumberFormat="1" applyFont="1" applyBorder="1" applyAlignment="1">
      <alignment horizontal="left" vertical="center"/>
    </xf>
    <xf numFmtId="1" fontId="9" fillId="0" borderId="1" xfId="23" applyNumberFormat="1" applyFont="1" applyBorder="1" applyAlignment="1">
      <alignment horizontal="left" vertical="center"/>
    </xf>
    <xf numFmtId="2" fontId="9" fillId="0" borderId="1" xfId="23" applyNumberFormat="1" applyFont="1" applyBorder="1" applyAlignment="1">
      <alignment horizontal="left" vertical="center"/>
    </xf>
    <xf numFmtId="174" fontId="9" fillId="0" borderId="1" xfId="23" applyNumberFormat="1" applyFont="1" applyBorder="1" applyAlignment="1">
      <alignment horizontal="left" vertical="center"/>
    </xf>
    <xf numFmtId="0" fontId="24" fillId="0" borderId="1" xfId="7" applyFont="1" applyBorder="1" applyAlignment="1" applyProtection="1">
      <alignment horizontal="center"/>
    </xf>
    <xf numFmtId="0" fontId="9" fillId="0" borderId="1" xfId="7" applyFont="1" applyBorder="1" applyAlignment="1" applyProtection="1">
      <alignment horizontal="center"/>
    </xf>
    <xf numFmtId="0" fontId="9" fillId="0" borderId="1" xfId="24" applyFont="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0" xfId="0" applyAlignment="1">
      <alignment horizontal="center"/>
    </xf>
    <xf numFmtId="0" fontId="4" fillId="5" borderId="1" xfId="22" applyFont="1" applyFill="1" applyBorder="1" applyAlignment="1">
      <alignment horizontal="center" vertical="center" wrapText="1"/>
    </xf>
    <xf numFmtId="2" fontId="5" fillId="3" borderId="26" xfId="22" applyNumberFormat="1" applyFont="1" applyFill="1" applyBorder="1" applyAlignment="1">
      <alignment horizontal="center" vertical="center" wrapText="1"/>
    </xf>
    <xf numFmtId="2" fontId="5" fillId="3" borderId="15" xfId="22" applyNumberFormat="1" applyFont="1" applyFill="1" applyBorder="1" applyAlignment="1">
      <alignment horizontal="center" vertical="center" wrapText="1"/>
    </xf>
    <xf numFmtId="0" fontId="0" fillId="3" borderId="1" xfId="23" applyFont="1" applyFill="1" applyBorder="1" applyAlignment="1">
      <alignment horizontal="center" vertical="center"/>
    </xf>
    <xf numFmtId="0" fontId="10" fillId="4" borderId="1" xfId="24" applyFont="1" applyFill="1" applyBorder="1" applyAlignment="1">
      <alignment horizontal="center" vertical="center"/>
    </xf>
    <xf numFmtId="0" fontId="10" fillId="4" borderId="1" xfId="25" applyFont="1" applyFill="1" applyBorder="1" applyAlignment="1">
      <alignment horizontal="center" vertical="center" wrapText="1"/>
    </xf>
    <xf numFmtId="0" fontId="11" fillId="4" borderId="1" xfId="25" applyFont="1" applyFill="1" applyBorder="1" applyAlignment="1">
      <alignment horizontal="center" vertical="center"/>
    </xf>
    <xf numFmtId="2" fontId="10" fillId="4" borderId="1" xfId="25" applyNumberFormat="1" applyFont="1" applyFill="1" applyBorder="1" applyAlignment="1">
      <alignment horizontal="center" vertical="center"/>
    </xf>
    <xf numFmtId="0" fontId="4" fillId="4" borderId="1" xfId="24" applyFont="1" applyFill="1" applyBorder="1" applyAlignment="1">
      <alignment horizontal="left" vertical="center"/>
    </xf>
    <xf numFmtId="0" fontId="4" fillId="4" borderId="1" xfId="25" applyFont="1" applyFill="1" applyBorder="1" applyAlignment="1">
      <alignment horizontal="left" vertical="center" wrapText="1"/>
    </xf>
    <xf numFmtId="0" fontId="22" fillId="4" borderId="1" xfId="25" applyFont="1" applyFill="1" applyBorder="1" applyAlignment="1">
      <alignment horizontal="left" vertical="center"/>
    </xf>
    <xf numFmtId="2" fontId="4" fillId="4" borderId="1" xfId="25" applyNumberFormat="1" applyFont="1" applyFill="1" applyBorder="1" applyAlignment="1">
      <alignment horizontal="left" vertical="center"/>
    </xf>
  </cellXfs>
  <cellStyles count="29">
    <cellStyle name="Comma" xfId="1" builtinId="3"/>
    <cellStyle name="Comma 2" xfId="3" xr:uid="{00000000-0005-0000-0000-000001000000}"/>
    <cellStyle name="Excel Built-in Normal" xfId="23" xr:uid="{00000000-0005-0000-0000-000002000000}"/>
    <cellStyle name="Excel Built-in Normal 1" xfId="22" xr:uid="{00000000-0005-0000-0000-000003000000}"/>
    <cellStyle name="Excel Built-in Normal 1 1 1" xfId="28" xr:uid="{00000000-0005-0000-0000-000004000000}"/>
    <cellStyle name="Excel Built-in Normal 1 1 1 1 1 2" xfId="27" xr:uid="{00000000-0005-0000-0000-000005000000}"/>
    <cellStyle name="Excel Built-in Normal 1 1 1 2" xfId="24" xr:uid="{00000000-0005-0000-0000-000006000000}"/>
    <cellStyle name="Excel Built-in Normal 1 2" xfId="25" xr:uid="{00000000-0005-0000-0000-000007000000}"/>
    <cellStyle name="Excel Built-in Normal 2 2" xfId="26" xr:uid="{00000000-0005-0000-0000-000008000000}"/>
    <cellStyle name="Hyperlink 2" xfId="4" xr:uid="{00000000-0005-0000-0000-000009000000}"/>
    <cellStyle name="Hyperlink 3" xfId="5" xr:uid="{00000000-0005-0000-0000-00000A000000}"/>
    <cellStyle name="Hyperlink 4" xfId="6" xr:uid="{00000000-0005-0000-0000-00000B000000}"/>
    <cellStyle name="Hyperlink 4 2" xfId="7" xr:uid="{00000000-0005-0000-0000-00000C000000}"/>
    <cellStyle name="Normal" xfId="0" builtinId="0"/>
    <cellStyle name="Normal 10" xfId="8" xr:uid="{00000000-0005-0000-0000-00000E000000}"/>
    <cellStyle name="Normal 11" xfId="9" xr:uid="{00000000-0005-0000-0000-00000F000000}"/>
    <cellStyle name="Normal 14" xfId="10" xr:uid="{00000000-0005-0000-0000-000010000000}"/>
    <cellStyle name="Normal 2" xfId="11" xr:uid="{00000000-0005-0000-0000-000011000000}"/>
    <cellStyle name="Normal 3" xfId="12" xr:uid="{00000000-0005-0000-0000-000012000000}"/>
    <cellStyle name="Normal 4" xfId="13" xr:uid="{00000000-0005-0000-0000-000013000000}"/>
    <cellStyle name="Normal 5" xfId="14" xr:uid="{00000000-0005-0000-0000-000014000000}"/>
    <cellStyle name="Normal 6" xfId="15" xr:uid="{00000000-0005-0000-0000-000015000000}"/>
    <cellStyle name="Normal 6 2" xfId="16" xr:uid="{00000000-0005-0000-0000-000016000000}"/>
    <cellStyle name="Normal 7" xfId="17" xr:uid="{00000000-0005-0000-0000-000017000000}"/>
    <cellStyle name="Normal 8" xfId="18" xr:uid="{00000000-0005-0000-0000-000018000000}"/>
    <cellStyle name="Percent" xfId="2" builtinId="5"/>
    <cellStyle name="Percent 2" xfId="19" xr:uid="{00000000-0005-0000-0000-00001A000000}"/>
    <cellStyle name="Percent 3" xfId="20" xr:uid="{00000000-0005-0000-0000-00001B000000}"/>
    <cellStyle name="TableStyleLight1" xfId="21" xr:uid="{00000000-0005-0000-0000-00001C000000}"/>
  </cellStyles>
  <dxfs count="20">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09F9E"/>
      <rgbColor rgb="FFCC99FF"/>
      <rgbColor rgb="FFFCD5B5"/>
      <rgbColor rgb="FF3366FF"/>
      <rgbColor rgb="FF33CCCC"/>
      <rgbColor rgb="FF92D050"/>
      <rgbColor rgb="FFFFC000"/>
      <rgbColor rgb="FFFF9900"/>
      <rgbColor rgb="FFE46C0A"/>
      <rgbColor rgb="FF666699"/>
      <rgbColor rgb="FFA6A6A6"/>
      <rgbColor rgb="FF003366"/>
      <rgbColor rgb="FF339966"/>
      <rgbColor rgb="FF151920"/>
      <rgbColor rgb="FF333300"/>
      <rgbColor rgb="FF97191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Rudra\Monthly%20Reports\Rudra\Downloads\Bangalore%20Capacity%20Master%20June-202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Rudra\Monthly%20Reports\Monthly%20Reports\C17254\Downloads\Bangalore%20Capacity%20Master%20OC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detail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W SUMMARY"/>
      <sheetName val="Facility details "/>
      <sheetName val="Customer details"/>
      <sheetName val="Disconnection details"/>
    </sheetNames>
    <sheetDataSet>
      <sheetData sheetId="0"/>
      <sheetData sheetId="1"/>
      <sheetData sheetId="2"/>
      <sheetData sheetId="3">
        <row r="1">
          <cell r="V1">
            <v>0.5</v>
          </cell>
        </row>
      </sheetData>
      <sheetData sheetId="4"/>
    </sheetDataSet>
  </externalBook>
</externalLink>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2"/>
  <sheetViews>
    <sheetView zoomScale="115" zoomScaleNormal="115" workbookViewId="0">
      <selection activeCell="D3" sqref="D3"/>
    </sheetView>
  </sheetViews>
  <sheetFormatPr defaultColWidth="11.44140625" defaultRowHeight="12.75" customHeight="1" x14ac:dyDescent="0.3"/>
  <cols>
    <col min="1" max="1" width="34.109375" customWidth="1"/>
    <col min="2" max="2" width="24.109375" customWidth="1"/>
    <col min="3" max="3" width="29.5546875" customWidth="1"/>
    <col min="4" max="4" width="38.88671875" customWidth="1"/>
    <col min="5" max="5" width="51" customWidth="1"/>
  </cols>
  <sheetData>
    <row r="2" spans="1:5" ht="12.75" customHeight="1" x14ac:dyDescent="0.3">
      <c r="A2" s="1" t="s">
        <v>0</v>
      </c>
      <c r="B2" s="1" t="s">
        <v>1</v>
      </c>
      <c r="C2" s="2" t="s">
        <v>2</v>
      </c>
      <c r="D2" s="2" t="s">
        <v>3</v>
      </c>
      <c r="E2" s="2" t="s">
        <v>4</v>
      </c>
    </row>
    <row r="3" spans="1:5" ht="12.75" customHeight="1" x14ac:dyDescent="0.3">
      <c r="A3" s="3" t="s">
        <v>5</v>
      </c>
      <c r="B3" s="3" t="s">
        <v>6</v>
      </c>
      <c r="C3" s="4">
        <v>4000</v>
      </c>
      <c r="D3" s="5">
        <v>2798</v>
      </c>
      <c r="E3" s="6"/>
    </row>
    <row r="4" spans="1:5" ht="12.75" customHeight="1" x14ac:dyDescent="0.3">
      <c r="A4" s="7"/>
      <c r="B4" s="7"/>
      <c r="C4" s="8"/>
      <c r="D4" s="9"/>
      <c r="E4" s="6"/>
    </row>
    <row r="5" spans="1:5" ht="12.75" customHeight="1" x14ac:dyDescent="0.3">
      <c r="A5" s="3" t="s">
        <v>7</v>
      </c>
      <c r="B5" s="3" t="s">
        <v>6</v>
      </c>
      <c r="C5" s="4">
        <v>0</v>
      </c>
      <c r="D5" s="5">
        <v>0</v>
      </c>
      <c r="E5" s="6"/>
    </row>
    <row r="6" spans="1:5" ht="12.75" customHeight="1" x14ac:dyDescent="0.3">
      <c r="A6" s="7"/>
      <c r="B6" s="7"/>
      <c r="C6" s="8"/>
      <c r="D6" s="9"/>
      <c r="E6" s="6"/>
    </row>
    <row r="7" spans="1:5" ht="12.75" customHeight="1" x14ac:dyDescent="0.3">
      <c r="A7" s="10" t="s">
        <v>8</v>
      </c>
      <c r="B7" s="10" t="s">
        <v>6</v>
      </c>
      <c r="C7" s="11"/>
      <c r="D7" s="6"/>
      <c r="E7" s="6"/>
    </row>
    <row r="8" spans="1:5" ht="12.75" customHeight="1" x14ac:dyDescent="0.3">
      <c r="A8" s="12"/>
      <c r="B8" s="10"/>
      <c r="C8" s="11"/>
      <c r="D8" s="6"/>
      <c r="E8" s="6"/>
    </row>
    <row r="12" spans="1:5" ht="12.75" customHeight="1" x14ac:dyDescent="0.3">
      <c r="B12" s="260"/>
      <c r="C12" s="260"/>
      <c r="D12" s="260"/>
      <c r="E12" s="260"/>
    </row>
  </sheetData>
  <mergeCells count="2">
    <mergeCell ref="B12:C12"/>
    <mergeCell ref="D12:E1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5"/>
  <sheetViews>
    <sheetView topLeftCell="A4" zoomScale="145" zoomScaleNormal="145" workbookViewId="0">
      <selection activeCell="B7" sqref="B7"/>
    </sheetView>
  </sheetViews>
  <sheetFormatPr defaultColWidth="8.5546875" defaultRowHeight="12.75" customHeight="1" x14ac:dyDescent="0.3"/>
  <cols>
    <col min="1" max="1" width="20.109375" customWidth="1"/>
    <col min="2" max="2" width="8.109375" customWidth="1"/>
    <col min="5" max="5" width="18.33203125" customWidth="1"/>
    <col min="6" max="6" width="10.88671875" customWidth="1"/>
    <col min="7" max="7" width="9.88671875" customWidth="1"/>
    <col min="8" max="8" width="10.88671875" customWidth="1"/>
    <col min="9" max="9" width="6.33203125" customWidth="1"/>
    <col min="10" max="10" width="9.44140625" customWidth="1"/>
  </cols>
  <sheetData>
    <row r="2" spans="1:13" ht="27.6" x14ac:dyDescent="0.3">
      <c r="A2" s="13" t="s">
        <v>9</v>
      </c>
      <c r="B2" s="14" t="s">
        <v>10</v>
      </c>
      <c r="C2" s="14" t="s">
        <v>11</v>
      </c>
      <c r="D2" s="14" t="s">
        <v>12</v>
      </c>
      <c r="E2" s="14" t="s">
        <v>13</v>
      </c>
      <c r="F2" s="14" t="s">
        <v>14</v>
      </c>
    </row>
    <row r="3" spans="1:13" ht="13.8" x14ac:dyDescent="0.3">
      <c r="A3" s="15" t="s">
        <v>15</v>
      </c>
      <c r="B3" s="16">
        <v>4000</v>
      </c>
      <c r="C3" s="16">
        <v>2798</v>
      </c>
      <c r="D3" s="17">
        <f>+C3/B3</f>
        <v>0.69950000000000001</v>
      </c>
      <c r="E3" s="16"/>
      <c r="F3" s="16"/>
    </row>
    <row r="4" spans="1:13" ht="13.8" x14ac:dyDescent="0.3">
      <c r="A4" s="15"/>
      <c r="B4" s="16">
        <v>0</v>
      </c>
      <c r="C4" s="16">
        <v>0</v>
      </c>
      <c r="D4" s="17" t="e">
        <f>+C4/B4</f>
        <v>#DIV/0!</v>
      </c>
      <c r="E4" s="16"/>
      <c r="F4" s="16"/>
    </row>
    <row r="5" spans="1:13" ht="13.8" x14ac:dyDescent="0.3">
      <c r="A5" s="15" t="s">
        <v>16</v>
      </c>
      <c r="B5" s="18">
        <f>B3+B4</f>
        <v>4000</v>
      </c>
      <c r="C5" s="15">
        <f>C3</f>
        <v>2798</v>
      </c>
      <c r="D5" s="17">
        <f>+C5/B5</f>
        <v>0.69950000000000001</v>
      </c>
      <c r="E5" s="18">
        <v>1574</v>
      </c>
      <c r="F5" s="19">
        <f>C5/E5</f>
        <v>1.7776365946632782</v>
      </c>
    </row>
    <row r="9" spans="1:13" ht="13.8" x14ac:dyDescent="0.3">
      <c r="A9" s="20" t="s">
        <v>17</v>
      </c>
      <c r="B9" s="258" t="s">
        <v>18</v>
      </c>
      <c r="C9" s="258"/>
      <c r="D9" s="258"/>
      <c r="E9" s="259" t="s">
        <v>19</v>
      </c>
      <c r="F9" s="259"/>
      <c r="G9" s="258" t="s">
        <v>20</v>
      </c>
      <c r="H9" s="258"/>
      <c r="I9" s="258"/>
      <c r="J9" s="258"/>
    </row>
    <row r="10" spans="1:13" ht="13.8" x14ac:dyDescent="0.3">
      <c r="A10" s="21"/>
      <c r="B10" s="21" t="s">
        <v>21</v>
      </c>
      <c r="C10" s="13" t="s">
        <v>22</v>
      </c>
      <c r="D10" s="22" t="s">
        <v>23</v>
      </c>
      <c r="E10" s="23" t="s">
        <v>24</v>
      </c>
      <c r="F10" s="24" t="s">
        <v>25</v>
      </c>
      <c r="G10" s="21" t="s">
        <v>21</v>
      </c>
      <c r="H10" s="13" t="s">
        <v>26</v>
      </c>
      <c r="I10" s="13" t="s">
        <v>22</v>
      </c>
      <c r="J10" s="22" t="s">
        <v>23</v>
      </c>
    </row>
    <row r="11" spans="1:13" ht="13.8" x14ac:dyDescent="0.3">
      <c r="A11" s="25" t="s">
        <v>16</v>
      </c>
      <c r="B11" s="26">
        <v>4860</v>
      </c>
      <c r="C11" s="27">
        <f>'Facility details '!O14</f>
        <v>2891</v>
      </c>
      <c r="D11" s="28">
        <f>+'NEW SUMMARY'!B11-'NEW SUMMARY'!C11</f>
        <v>1969</v>
      </c>
      <c r="E11" s="29">
        <f>'Facility details '!P14</f>
        <v>2124.6000000000004</v>
      </c>
      <c r="F11" s="30">
        <f>+E11/C11</f>
        <v>0.73490141819439658</v>
      </c>
      <c r="G11" s="26">
        <f>'Facility details '!T11+'Facility details '!T12+'Facility details '!T13</f>
        <v>925</v>
      </c>
      <c r="H11" s="27">
        <v>2153</v>
      </c>
      <c r="I11" s="27">
        <f>'Facility details '!U11+'Facility details '!U12+'Facility details '!U13</f>
        <v>720</v>
      </c>
      <c r="J11" s="28">
        <f>'Facility details '!W11+'Facility details '!W12+'Facility details '!W13</f>
        <v>137</v>
      </c>
      <c r="M11" s="31"/>
    </row>
    <row r="12" spans="1:13" ht="13.8" x14ac:dyDescent="0.3">
      <c r="A12" s="32" t="s">
        <v>27</v>
      </c>
      <c r="B12" s="32"/>
      <c r="C12" s="15"/>
      <c r="D12" s="33"/>
      <c r="E12" s="34"/>
      <c r="F12" s="35"/>
      <c r="G12" s="32"/>
      <c r="H12" s="15"/>
      <c r="I12" s="15"/>
      <c r="J12" s="33"/>
    </row>
    <row r="13" spans="1:13" ht="13.8" x14ac:dyDescent="0.3">
      <c r="A13" s="36" t="s">
        <v>28</v>
      </c>
      <c r="B13" s="37">
        <v>540</v>
      </c>
      <c r="C13" s="18">
        <f>'Facility details '!O11</f>
        <v>305</v>
      </c>
      <c r="D13" s="38">
        <f>+'NEW SUMMARY'!B13-'NEW SUMMARY'!C13</f>
        <v>235</v>
      </c>
      <c r="E13" s="39">
        <f>'Facility details '!P11</f>
        <v>91.5</v>
      </c>
      <c r="F13" s="40">
        <f>+E13/C13</f>
        <v>0.3</v>
      </c>
      <c r="G13" s="37">
        <f>'Facility details '!T11</f>
        <v>130</v>
      </c>
      <c r="H13" s="18">
        <f>+G13-'Facility details '!V11</f>
        <v>82</v>
      </c>
      <c r="I13" s="18">
        <f>'Facility details '!U11</f>
        <v>63</v>
      </c>
      <c r="J13" s="38">
        <f>+'NEW SUMMARY'!H13-'NEW SUMMARY'!I13</f>
        <v>19</v>
      </c>
    </row>
    <row r="14" spans="1:13" ht="13.8" x14ac:dyDescent="0.3">
      <c r="A14" s="36" t="s">
        <v>29</v>
      </c>
      <c r="B14" s="37">
        <v>1620</v>
      </c>
      <c r="C14" s="18">
        <f>'Facility details '!O12</f>
        <v>1566</v>
      </c>
      <c r="D14" s="38">
        <f>+'NEW SUMMARY'!B14-'NEW SUMMARY'!C14</f>
        <v>54</v>
      </c>
      <c r="E14" s="39">
        <f>'Facility details '!P12</f>
        <v>1075.4000000000001</v>
      </c>
      <c r="F14" s="40">
        <f>+E14/C14</f>
        <v>0.68671775223499365</v>
      </c>
      <c r="G14" s="37">
        <f>'Facility details '!T12</f>
        <v>540</v>
      </c>
      <c r="H14" s="18">
        <f>+G14-'Facility details '!V12</f>
        <v>520</v>
      </c>
      <c r="I14" s="18">
        <f>'Facility details '!U12</f>
        <v>402</v>
      </c>
      <c r="J14" s="38">
        <f>+'NEW SUMMARY'!H14-'NEW SUMMARY'!I14</f>
        <v>118</v>
      </c>
    </row>
    <row r="15" spans="1:13" ht="13.8" x14ac:dyDescent="0.3">
      <c r="A15" s="41" t="s">
        <v>30</v>
      </c>
      <c r="B15" s="42">
        <v>1080</v>
      </c>
      <c r="C15" s="43">
        <f>'Facility details '!O13</f>
        <v>1020</v>
      </c>
      <c r="D15" s="44">
        <f>+'NEW SUMMARY'!B15-'NEW SUMMARY'!C15</f>
        <v>60</v>
      </c>
      <c r="E15" s="45">
        <f>'Facility details '!P13</f>
        <v>957.7</v>
      </c>
      <c r="F15" s="46">
        <f>+E15/C15</f>
        <v>0.93892156862745102</v>
      </c>
      <c r="G15" s="42">
        <f>'Facility details '!T13</f>
        <v>255</v>
      </c>
      <c r="H15" s="43">
        <f>+G15-'Facility details '!V13</f>
        <v>255</v>
      </c>
      <c r="I15" s="43">
        <f>'Facility details '!U13</f>
        <v>255</v>
      </c>
      <c r="J15" s="44">
        <f>+'NEW SUMMARY'!H15-'NEW SUMMARY'!I15</f>
        <v>0</v>
      </c>
    </row>
  </sheetData>
  <mergeCells count="3">
    <mergeCell ref="B9:D9"/>
    <mergeCell ref="E9:F9"/>
    <mergeCell ref="G9:J9"/>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8"/>
  <sheetViews>
    <sheetView topLeftCell="M9" zoomScale="115" zoomScaleNormal="115" workbookViewId="0">
      <selection activeCell="O12" sqref="O12"/>
    </sheetView>
  </sheetViews>
  <sheetFormatPr defaultColWidth="9" defaultRowHeight="12.75" customHeight="1" x14ac:dyDescent="0.3"/>
  <cols>
    <col min="1" max="1" width="24.109375" style="47" customWidth="1"/>
    <col min="2" max="6" width="15" style="47" customWidth="1"/>
    <col min="7" max="7" width="17.88671875" style="47" customWidth="1"/>
    <col min="8" max="11" width="15" style="47" customWidth="1"/>
    <col min="12" max="12" width="23.33203125" style="47" customWidth="1"/>
    <col min="13" max="13" width="15" style="47" customWidth="1"/>
    <col min="14" max="14" width="17.88671875" style="47" customWidth="1"/>
    <col min="15" max="15" width="18.109375" style="47" customWidth="1"/>
    <col min="16" max="19" width="15" style="47" customWidth="1"/>
    <col min="20" max="23" width="17.88671875" style="47" customWidth="1"/>
    <col min="24" max="24" width="18" style="47" customWidth="1"/>
    <col min="25" max="25" width="12.6640625" style="47" customWidth="1"/>
    <col min="26" max="26" width="15" style="47" customWidth="1"/>
    <col min="27" max="27" width="10.109375" style="47" customWidth="1"/>
    <col min="28" max="16384" width="9" style="47"/>
  </cols>
  <sheetData>
    <row r="1" spans="1:28" ht="13.8" x14ac:dyDescent="0.3">
      <c r="A1" s="48" t="s">
        <v>0</v>
      </c>
      <c r="B1" s="49" t="s">
        <v>2</v>
      </c>
      <c r="C1" s="50" t="s">
        <v>3</v>
      </c>
      <c r="D1" s="51"/>
      <c r="E1" s="52"/>
      <c r="F1" s="52"/>
      <c r="G1" s="52"/>
      <c r="H1" s="52"/>
      <c r="I1" s="53"/>
      <c r="J1" s="53"/>
      <c r="K1" s="53"/>
      <c r="L1" s="53"/>
      <c r="M1" s="52"/>
      <c r="N1" s="52"/>
      <c r="O1" s="52"/>
      <c r="P1" s="52"/>
      <c r="Q1" s="52"/>
      <c r="R1" s="52"/>
      <c r="S1" s="52"/>
      <c r="T1" s="52"/>
      <c r="U1" s="52"/>
      <c r="V1" s="52"/>
      <c r="W1" s="52"/>
      <c r="X1" s="54"/>
      <c r="Y1" s="54"/>
      <c r="Z1" s="54"/>
      <c r="AA1" s="55"/>
      <c r="AB1" s="55"/>
    </row>
    <row r="2" spans="1:28" ht="41.4" x14ac:dyDescent="0.3">
      <c r="A2" s="56"/>
      <c r="B2" s="57" t="s">
        <v>31</v>
      </c>
      <c r="C2" s="58" t="s">
        <v>32</v>
      </c>
      <c r="D2" s="51"/>
      <c r="E2" s="52"/>
      <c r="F2" s="52"/>
      <c r="G2" s="52"/>
      <c r="H2" s="52"/>
      <c r="I2" s="53"/>
      <c r="J2" s="53"/>
      <c r="K2" s="53"/>
      <c r="L2" s="53"/>
      <c r="M2" s="52"/>
      <c r="N2" s="52"/>
      <c r="O2" s="52"/>
      <c r="P2" s="52"/>
      <c r="Q2" s="52"/>
      <c r="R2" s="52"/>
      <c r="S2" s="52"/>
      <c r="T2" s="52"/>
      <c r="U2" s="52"/>
      <c r="V2" s="52"/>
      <c r="W2" s="52"/>
      <c r="X2" s="54"/>
      <c r="Y2" s="54"/>
      <c r="Z2" s="54"/>
      <c r="AA2" s="55"/>
      <c r="AB2" s="55"/>
    </row>
    <row r="3" spans="1:28" ht="13.8" x14ac:dyDescent="0.3">
      <c r="A3" s="59" t="s">
        <v>33</v>
      </c>
      <c r="B3" s="60" t="s">
        <v>34</v>
      </c>
      <c r="C3" s="53">
        <v>2573</v>
      </c>
      <c r="D3" s="53"/>
      <c r="E3" s="53"/>
      <c r="F3" s="53"/>
      <c r="G3" s="52"/>
      <c r="H3" s="52"/>
      <c r="I3" s="53"/>
      <c r="J3" s="53"/>
      <c r="K3" s="52"/>
      <c r="L3" s="53"/>
      <c r="M3" s="52"/>
      <c r="N3" s="52"/>
      <c r="O3" s="52"/>
      <c r="P3" s="52"/>
      <c r="Q3" s="52"/>
      <c r="R3" s="52"/>
      <c r="S3" s="52"/>
      <c r="T3" s="52"/>
      <c r="U3" s="52"/>
      <c r="V3" s="52"/>
      <c r="W3" s="52"/>
      <c r="X3" s="54"/>
      <c r="Y3" s="54"/>
      <c r="Z3" s="54"/>
      <c r="AA3" s="55"/>
      <c r="AB3" s="55"/>
    </row>
    <row r="4" spans="1:28" ht="13.8" x14ac:dyDescent="0.3">
      <c r="A4" s="59" t="s">
        <v>35</v>
      </c>
      <c r="B4" s="60">
        <v>100</v>
      </c>
      <c r="C4" s="61">
        <f>2573/4000</f>
        <v>0.64324999999999999</v>
      </c>
      <c r="D4" s="53"/>
      <c r="E4" s="53"/>
      <c r="F4" s="53"/>
      <c r="G4" s="52"/>
      <c r="H4" s="52"/>
      <c r="I4" s="53"/>
      <c r="J4" s="53"/>
      <c r="K4" s="52"/>
      <c r="L4" s="53"/>
      <c r="M4" s="52"/>
      <c r="N4" s="52"/>
      <c r="O4" s="52"/>
      <c r="P4" s="52"/>
      <c r="Q4" s="52"/>
      <c r="R4" s="52"/>
      <c r="S4" s="52"/>
      <c r="T4" s="52"/>
      <c r="U4" s="52"/>
      <c r="V4" s="52"/>
      <c r="W4" s="52"/>
      <c r="X4" s="54"/>
      <c r="Y4" s="54"/>
      <c r="Z4" s="54"/>
      <c r="AA4" s="55"/>
      <c r="AB4" s="55"/>
    </row>
    <row r="5" spans="1:28" ht="13.8" x14ac:dyDescent="0.3">
      <c r="A5" s="59" t="s">
        <v>33</v>
      </c>
      <c r="B5" s="60">
        <v>0</v>
      </c>
      <c r="C5" s="53">
        <v>0</v>
      </c>
      <c r="D5" s="53"/>
      <c r="E5" s="53"/>
      <c r="F5" s="53"/>
      <c r="G5" s="52"/>
      <c r="H5" s="52"/>
      <c r="I5" s="53"/>
      <c r="J5" s="53"/>
      <c r="K5" s="52"/>
      <c r="L5" s="53"/>
      <c r="M5" s="52"/>
      <c r="N5" s="52"/>
      <c r="O5" s="52"/>
      <c r="P5" s="52"/>
      <c r="Q5" s="52"/>
      <c r="R5" s="52"/>
      <c r="S5" s="52"/>
      <c r="T5" s="52"/>
      <c r="U5" s="52"/>
      <c r="V5" s="52">
        <f>13503</f>
        <v>13503</v>
      </c>
      <c r="W5" s="52"/>
      <c r="X5" s="54"/>
      <c r="Y5" s="54"/>
      <c r="Z5" s="54"/>
      <c r="AA5" s="55"/>
      <c r="AB5" s="55"/>
    </row>
    <row r="6" spans="1:28" ht="13.8" x14ac:dyDescent="0.3">
      <c r="A6" s="59" t="s">
        <v>35</v>
      </c>
      <c r="B6" s="60">
        <v>0</v>
      </c>
      <c r="C6" s="60">
        <v>0</v>
      </c>
      <c r="D6" s="53"/>
      <c r="E6" s="53"/>
      <c r="F6" s="53"/>
      <c r="G6" s="52"/>
      <c r="H6" s="52"/>
      <c r="I6" s="53"/>
      <c r="J6" s="53"/>
      <c r="K6" s="52"/>
      <c r="L6" s="53"/>
      <c r="M6" s="52"/>
      <c r="N6" s="52"/>
      <c r="O6" s="52"/>
      <c r="P6" s="52"/>
      <c r="Q6" s="52"/>
      <c r="R6" s="52"/>
      <c r="S6" s="52"/>
      <c r="T6" s="52"/>
      <c r="U6" s="52"/>
      <c r="V6" s="52"/>
      <c r="W6" s="52"/>
      <c r="X6" s="54"/>
      <c r="Y6" s="54"/>
      <c r="Z6" s="54"/>
      <c r="AA6" s="55"/>
      <c r="AB6" s="55"/>
    </row>
    <row r="7" spans="1:28" ht="13.8" x14ac:dyDescent="0.3">
      <c r="A7" s="62"/>
      <c r="B7" s="63"/>
      <c r="C7" s="64"/>
      <c r="D7" s="65"/>
      <c r="E7" s="66"/>
      <c r="F7" s="66"/>
      <c r="G7" s="67"/>
      <c r="H7" s="67"/>
      <c r="I7" s="66"/>
      <c r="J7" s="66"/>
      <c r="K7" s="67"/>
      <c r="L7" s="66"/>
      <c r="M7" s="67"/>
      <c r="N7" s="67"/>
      <c r="O7" s="67"/>
      <c r="P7" s="67"/>
      <c r="Q7" s="67"/>
      <c r="R7" s="67"/>
      <c r="S7" s="67"/>
      <c r="T7" s="67"/>
      <c r="U7" s="67"/>
      <c r="V7" s="67"/>
      <c r="W7" s="67"/>
      <c r="X7" s="68"/>
      <c r="Y7" s="68"/>
      <c r="Z7" s="68"/>
      <c r="AA7" s="55"/>
      <c r="AB7" s="55"/>
    </row>
    <row r="8" spans="1:28" ht="13.8" x14ac:dyDescent="0.3">
      <c r="A8" s="62"/>
      <c r="B8" s="67"/>
      <c r="C8" s="69"/>
      <c r="D8" s="65"/>
      <c r="E8" s="66"/>
      <c r="F8" s="66"/>
      <c r="G8" s="67"/>
      <c r="H8" s="67"/>
      <c r="I8" s="66"/>
      <c r="J8" s="66"/>
      <c r="K8" s="67"/>
      <c r="L8" s="66"/>
      <c r="M8" s="67"/>
      <c r="N8" s="67"/>
      <c r="O8" s="67"/>
      <c r="P8" s="67"/>
      <c r="Q8" s="67"/>
      <c r="R8" s="67"/>
      <c r="S8" s="67"/>
      <c r="T8" s="67"/>
      <c r="U8" s="67"/>
      <c r="V8" s="67"/>
      <c r="W8" s="67"/>
      <c r="X8" s="68"/>
      <c r="Y8" s="68"/>
      <c r="Z8" s="68"/>
      <c r="AA8" s="55"/>
      <c r="AB8" s="55"/>
    </row>
    <row r="9" spans="1:28" ht="69" x14ac:dyDescent="0.3">
      <c r="A9" s="70" t="s">
        <v>36</v>
      </c>
      <c r="B9" s="71" t="s">
        <v>37</v>
      </c>
      <c r="C9" s="72" t="s">
        <v>38</v>
      </c>
      <c r="D9" s="72" t="s">
        <v>39</v>
      </c>
      <c r="E9" s="72" t="s">
        <v>40</v>
      </c>
      <c r="F9" s="72" t="s">
        <v>41</v>
      </c>
      <c r="G9" s="71" t="s">
        <v>42</v>
      </c>
      <c r="H9" s="72" t="s">
        <v>43</v>
      </c>
      <c r="I9" s="72" t="s">
        <v>44</v>
      </c>
      <c r="J9" s="72" t="s">
        <v>40</v>
      </c>
      <c r="K9" s="71" t="s">
        <v>45</v>
      </c>
      <c r="L9" s="72" t="s">
        <v>46</v>
      </c>
      <c r="M9" s="71" t="s">
        <v>47</v>
      </c>
      <c r="N9" s="73" t="s">
        <v>48</v>
      </c>
      <c r="O9" s="73" t="s">
        <v>49</v>
      </c>
      <c r="P9" s="71" t="s">
        <v>50</v>
      </c>
      <c r="Q9" s="71" t="s">
        <v>51</v>
      </c>
      <c r="R9" s="74" t="s">
        <v>52</v>
      </c>
      <c r="S9" s="75" t="s">
        <v>53</v>
      </c>
      <c r="T9" s="76" t="s">
        <v>54</v>
      </c>
      <c r="U9" s="76" t="s">
        <v>55</v>
      </c>
      <c r="V9" s="76" t="s">
        <v>56</v>
      </c>
      <c r="W9" s="76" t="s">
        <v>57</v>
      </c>
      <c r="X9" s="77" t="s">
        <v>58</v>
      </c>
      <c r="Y9" s="77" t="s">
        <v>59</v>
      </c>
      <c r="Z9" s="78" t="s">
        <v>60</v>
      </c>
      <c r="AA9" s="79"/>
      <c r="AB9" s="79"/>
    </row>
    <row r="10" spans="1:28" ht="30" customHeight="1" x14ac:dyDescent="0.3">
      <c r="A10" s="80"/>
      <c r="B10" s="262" t="s">
        <v>61</v>
      </c>
      <c r="C10" s="262"/>
      <c r="D10" s="262"/>
      <c r="E10" s="262"/>
      <c r="F10" s="262"/>
      <c r="G10" s="263" t="s">
        <v>62</v>
      </c>
      <c r="H10" s="263"/>
      <c r="I10" s="263"/>
      <c r="J10" s="263"/>
      <c r="K10" s="262" t="s">
        <v>63</v>
      </c>
      <c r="L10" s="262"/>
      <c r="M10" s="81" t="s">
        <v>64</v>
      </c>
      <c r="N10" s="81" t="s">
        <v>65</v>
      </c>
      <c r="O10" s="81" t="s">
        <v>66</v>
      </c>
      <c r="P10" s="81" t="s">
        <v>67</v>
      </c>
      <c r="Q10" s="81" t="s">
        <v>67</v>
      </c>
      <c r="R10" s="81" t="s">
        <v>67</v>
      </c>
      <c r="S10" s="81" t="s">
        <v>67</v>
      </c>
      <c r="T10" s="81"/>
      <c r="U10" s="81"/>
      <c r="V10" s="81"/>
      <c r="W10" s="81"/>
      <c r="X10" s="82"/>
      <c r="Y10" s="82"/>
      <c r="Z10" s="82"/>
      <c r="AA10" s="83"/>
      <c r="AB10" s="83"/>
    </row>
    <row r="11" spans="1:28" ht="27.6" x14ac:dyDescent="0.3">
      <c r="A11" s="84" t="s">
        <v>28</v>
      </c>
      <c r="B11" s="60">
        <v>1600</v>
      </c>
      <c r="C11" s="53">
        <v>1</v>
      </c>
      <c r="D11" s="264">
        <v>1600</v>
      </c>
      <c r="E11" s="264">
        <v>1</v>
      </c>
      <c r="F11" s="85">
        <v>135.5</v>
      </c>
      <c r="G11" s="60">
        <v>1600</v>
      </c>
      <c r="H11" s="53">
        <v>1</v>
      </c>
      <c r="I11" s="264">
        <v>1600</v>
      </c>
      <c r="J11" s="264">
        <v>1</v>
      </c>
      <c r="K11" s="60">
        <f>600*0.9</f>
        <v>540</v>
      </c>
      <c r="L11" s="86" t="s">
        <v>68</v>
      </c>
      <c r="M11" s="60">
        <v>540</v>
      </c>
      <c r="N11" s="60">
        <v>305</v>
      </c>
      <c r="O11" s="60">
        <v>305</v>
      </c>
      <c r="P11" s="87">
        <v>91.5</v>
      </c>
      <c r="Q11" s="60">
        <f>M11-P11</f>
        <v>448.5</v>
      </c>
      <c r="R11" s="60">
        <f>M11-N11</f>
        <v>235</v>
      </c>
      <c r="S11" s="88">
        <f>M11-O11</f>
        <v>235</v>
      </c>
      <c r="T11" s="89">
        <v>130</v>
      </c>
      <c r="U11" s="90">
        <v>63</v>
      </c>
      <c r="V11" s="90">
        <v>48</v>
      </c>
      <c r="W11" s="90">
        <f>T11-(U11+V11)</f>
        <v>19</v>
      </c>
      <c r="X11" s="54">
        <v>3300</v>
      </c>
      <c r="Y11" s="54">
        <v>2857</v>
      </c>
      <c r="Z11" s="60">
        <f>X11-Y11</f>
        <v>443</v>
      </c>
      <c r="AA11" s="55"/>
      <c r="AB11" s="55"/>
    </row>
    <row r="12" spans="1:28" ht="27.6" x14ac:dyDescent="0.3">
      <c r="A12" s="84" t="s">
        <v>29</v>
      </c>
      <c r="B12" s="60">
        <v>1600</v>
      </c>
      <c r="C12" s="53">
        <v>1</v>
      </c>
      <c r="D12" s="264"/>
      <c r="E12" s="264"/>
      <c r="F12" s="85">
        <v>1460</v>
      </c>
      <c r="G12" s="60">
        <v>1600</v>
      </c>
      <c r="H12" s="53">
        <v>1</v>
      </c>
      <c r="I12" s="264"/>
      <c r="J12" s="264"/>
      <c r="K12" s="60">
        <v>1620</v>
      </c>
      <c r="L12" s="86" t="s">
        <v>69</v>
      </c>
      <c r="M12" s="60">
        <v>1620</v>
      </c>
      <c r="N12" s="60">
        <v>2106.5</v>
      </c>
      <c r="O12" s="60">
        <v>1566</v>
      </c>
      <c r="P12" s="87">
        <v>1075.4000000000001</v>
      </c>
      <c r="Q12" s="60">
        <f>M12-P12</f>
        <v>544.59999999999991</v>
      </c>
      <c r="R12" s="60">
        <f>M12-N12</f>
        <v>-486.5</v>
      </c>
      <c r="S12" s="88">
        <f>M12-O12</f>
        <v>54</v>
      </c>
      <c r="T12" s="89">
        <v>540</v>
      </c>
      <c r="U12" s="91">
        <v>402</v>
      </c>
      <c r="V12" s="90">
        <v>20</v>
      </c>
      <c r="W12" s="90">
        <f>T12-(U12+V12)</f>
        <v>118</v>
      </c>
      <c r="X12" s="54">
        <v>13820</v>
      </c>
      <c r="Y12" s="47">
        <v>9844</v>
      </c>
      <c r="Z12" s="60">
        <f>X12-Y12</f>
        <v>3976</v>
      </c>
      <c r="AA12" s="55"/>
      <c r="AB12" s="55"/>
    </row>
    <row r="13" spans="1:28" ht="27.6" x14ac:dyDescent="0.3">
      <c r="A13" s="84" t="s">
        <v>30</v>
      </c>
      <c r="B13" s="92">
        <v>1800</v>
      </c>
      <c r="C13" s="53">
        <v>1</v>
      </c>
      <c r="D13" s="53">
        <v>1800</v>
      </c>
      <c r="E13" s="53">
        <v>1</v>
      </c>
      <c r="F13" s="85">
        <v>823</v>
      </c>
      <c r="G13" s="92">
        <v>1800</v>
      </c>
      <c r="H13" s="53">
        <v>1</v>
      </c>
      <c r="I13" s="53">
        <v>1800</v>
      </c>
      <c r="J13" s="53">
        <v>1</v>
      </c>
      <c r="K13" s="92">
        <v>1080</v>
      </c>
      <c r="L13" s="86" t="s">
        <v>70</v>
      </c>
      <c r="M13" s="92">
        <v>1080</v>
      </c>
      <c r="N13" s="92">
        <v>1020</v>
      </c>
      <c r="O13" s="92">
        <v>1020</v>
      </c>
      <c r="P13" s="87">
        <v>957.7</v>
      </c>
      <c r="Q13" s="92">
        <f>M13-P13</f>
        <v>122.29999999999995</v>
      </c>
      <c r="R13" s="92">
        <f>M13-N13</f>
        <v>60</v>
      </c>
      <c r="S13" s="88">
        <f>M13-O13</f>
        <v>60</v>
      </c>
      <c r="T13" s="89">
        <v>255</v>
      </c>
      <c r="U13" s="91">
        <v>255</v>
      </c>
      <c r="V13" s="90">
        <v>0</v>
      </c>
      <c r="W13" s="90">
        <f>T13-(U13+V13)</f>
        <v>0</v>
      </c>
      <c r="X13" s="54">
        <v>6120</v>
      </c>
      <c r="Y13" s="54">
        <v>6120</v>
      </c>
      <c r="Z13" s="92">
        <f>X13-Y13</f>
        <v>0</v>
      </c>
      <c r="AA13" s="55"/>
      <c r="AB13" s="55"/>
    </row>
    <row r="14" spans="1:28" ht="12.75" customHeight="1" x14ac:dyDescent="0.3">
      <c r="A14" s="261" t="s">
        <v>71</v>
      </c>
      <c r="B14" s="261"/>
      <c r="C14" s="261"/>
      <c r="D14" s="261"/>
      <c r="E14" s="261"/>
      <c r="F14" s="261"/>
      <c r="G14" s="261"/>
      <c r="H14" s="261"/>
      <c r="I14" s="261"/>
      <c r="J14" s="93"/>
      <c r="K14" s="94">
        <f>SUM(K11:K13)</f>
        <v>3240</v>
      </c>
      <c r="L14" s="95"/>
      <c r="M14" s="96">
        <f t="shared" ref="M14:Z14" si="0">SUM(M11:M13)</f>
        <v>3240</v>
      </c>
      <c r="N14" s="94">
        <f t="shared" si="0"/>
        <v>3431.5</v>
      </c>
      <c r="O14" s="94">
        <f t="shared" si="0"/>
        <v>2891</v>
      </c>
      <c r="P14" s="94">
        <f t="shared" si="0"/>
        <v>2124.6000000000004</v>
      </c>
      <c r="Q14" s="94">
        <f t="shared" si="0"/>
        <v>1115.3999999999999</v>
      </c>
      <c r="R14" s="94">
        <f t="shared" si="0"/>
        <v>-191.5</v>
      </c>
      <c r="S14" s="94">
        <f t="shared" si="0"/>
        <v>349</v>
      </c>
      <c r="T14" s="94">
        <f t="shared" si="0"/>
        <v>925</v>
      </c>
      <c r="U14" s="94">
        <f t="shared" si="0"/>
        <v>720</v>
      </c>
      <c r="V14" s="94">
        <f t="shared" si="0"/>
        <v>68</v>
      </c>
      <c r="W14" s="94">
        <f t="shared" si="0"/>
        <v>137</v>
      </c>
      <c r="X14" s="94">
        <f t="shared" si="0"/>
        <v>23240</v>
      </c>
      <c r="Y14" s="94">
        <f t="shared" si="0"/>
        <v>18821</v>
      </c>
      <c r="Z14" s="94">
        <f t="shared" si="0"/>
        <v>4419</v>
      </c>
      <c r="AA14" s="55"/>
      <c r="AB14" s="55"/>
    </row>
    <row r="18" spans="25:25" ht="13.8" x14ac:dyDescent="0.3">
      <c r="Y18" s="97"/>
    </row>
  </sheetData>
  <mergeCells count="8">
    <mergeCell ref="A14:I14"/>
    <mergeCell ref="B10:F10"/>
    <mergeCell ref="G10:J10"/>
    <mergeCell ref="K10:L10"/>
    <mergeCell ref="D11:D12"/>
    <mergeCell ref="E11:E12"/>
    <mergeCell ref="I11:I12"/>
    <mergeCell ref="J11:J12"/>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102"/>
  <sheetViews>
    <sheetView tabSelected="1" zoomScale="85" zoomScaleNormal="85" workbookViewId="0">
      <pane ySplit="3" topLeftCell="A6" activePane="bottomLeft" state="frozen"/>
      <selection activeCell="AC1" sqref="AC1"/>
      <selection pane="bottomLeft" activeCell="A3" sqref="A3"/>
    </sheetView>
  </sheetViews>
  <sheetFormatPr defaultColWidth="20.109375" defaultRowHeight="12.75" customHeight="1" x14ac:dyDescent="0.3"/>
  <cols>
    <col min="1" max="1" width="20.109375" style="103"/>
    <col min="2" max="2" width="16.5546875" style="103" customWidth="1"/>
    <col min="3" max="3" width="70.109375" style="103" customWidth="1"/>
    <col min="4" max="4" width="13.88671875" style="103" hidden="1" customWidth="1"/>
    <col min="5" max="5" width="30.33203125" style="103" hidden="1" customWidth="1"/>
    <col min="6" max="6" width="25.109375" style="103" hidden="1" customWidth="1"/>
    <col min="7" max="7" width="23.88671875" style="103" hidden="1" customWidth="1"/>
    <col min="8" max="8" width="21.5546875" style="103" hidden="1" customWidth="1"/>
    <col min="9" max="9" width="11.44140625" style="103" customWidth="1"/>
    <col min="10" max="10" width="17.88671875" style="103" customWidth="1"/>
    <col min="11" max="11" width="12.109375" style="103" customWidth="1"/>
    <col min="12" max="12" width="21.44140625" style="241" hidden="1" customWidth="1"/>
    <col min="13" max="13" width="11.5546875" style="242" hidden="1" customWidth="1"/>
    <col min="14" max="14" width="29.88671875" style="242" hidden="1" customWidth="1"/>
    <col min="15" max="15" width="16.109375" style="242" hidden="1" customWidth="1"/>
    <col min="16" max="16" width="24.44140625" style="242" customWidth="1"/>
    <col min="17" max="17" width="8.6640625" style="242" customWidth="1"/>
    <col min="18" max="18" width="28.88671875" style="242" customWidth="1"/>
    <col min="19" max="19" width="17.33203125" style="103" customWidth="1"/>
    <col min="20" max="20" width="25.5546875" style="241" customWidth="1"/>
    <col min="21" max="21" width="20.88671875" style="103" customWidth="1"/>
    <col min="22" max="23" width="28.109375" style="103" customWidth="1"/>
    <col min="24" max="24" width="17.88671875" style="103" customWidth="1"/>
    <col min="25" max="25" width="18" style="103" customWidth="1"/>
    <col min="26" max="26" width="23.5546875" style="103" customWidth="1"/>
    <col min="27" max="27" width="24.88671875" style="103" customWidth="1"/>
    <col min="28" max="28" width="18" style="103" customWidth="1"/>
    <col min="29" max="29" width="12.88671875" style="103" customWidth="1"/>
    <col min="30" max="30" width="18.44140625" style="103" customWidth="1"/>
    <col min="31" max="31" width="21.44140625" style="103" customWidth="1"/>
    <col min="32" max="32" width="17.109375" style="243" customWidth="1"/>
    <col min="33" max="33" width="20.88671875" style="243" customWidth="1"/>
    <col min="34" max="34" width="9.109375" style="243" customWidth="1"/>
    <col min="35" max="35" width="15.33203125" style="103" customWidth="1"/>
    <col min="36" max="36" width="10.109375" style="103" customWidth="1"/>
    <col min="37" max="37" width="17.33203125" style="103" customWidth="1"/>
    <col min="38" max="38" width="9.88671875" style="103" customWidth="1"/>
    <col min="39" max="39" width="24.6640625" style="103" customWidth="1"/>
    <col min="40" max="40" width="15.109375" style="103" customWidth="1"/>
    <col min="41" max="41" width="21.5546875" style="103" customWidth="1"/>
    <col min="42" max="42" width="18.44140625" style="103" customWidth="1"/>
    <col min="43" max="43" width="20.44140625" style="103" customWidth="1"/>
    <col min="44" max="44" width="14" style="103" customWidth="1"/>
    <col min="45" max="45" width="15.88671875" style="103" customWidth="1"/>
    <col min="46" max="46" width="15.33203125" style="103" customWidth="1"/>
    <col min="47" max="47" width="17" style="103" customWidth="1"/>
    <col min="48" max="48" width="17.44140625" style="103" customWidth="1"/>
    <col min="49" max="49" width="18" style="103" customWidth="1"/>
    <col min="50" max="50" width="21.6640625" style="103" customWidth="1"/>
    <col min="51" max="51" width="18.6640625" style="103" customWidth="1"/>
    <col min="52" max="52" width="32.109375" style="103" customWidth="1"/>
    <col min="53" max="54" width="20.109375" style="103"/>
    <col min="55" max="16384" width="20.109375" style="98"/>
  </cols>
  <sheetData>
    <row r="1" spans="1:54" ht="12" x14ac:dyDescent="0.3">
      <c r="A1" s="104"/>
      <c r="B1" s="105"/>
      <c r="C1" s="105"/>
      <c r="D1" s="105"/>
      <c r="E1" s="105"/>
      <c r="F1" s="105"/>
      <c r="G1" s="106"/>
      <c r="H1" s="106"/>
      <c r="I1" s="106"/>
      <c r="J1" s="106"/>
      <c r="K1" s="105"/>
      <c r="L1" s="107"/>
      <c r="M1" s="108"/>
      <c r="N1" s="108"/>
      <c r="O1" s="108"/>
      <c r="P1" s="109"/>
      <c r="Q1" s="109"/>
      <c r="R1" s="108"/>
      <c r="S1" s="105"/>
      <c r="T1" s="110" t="s">
        <v>72</v>
      </c>
      <c r="U1" s="111"/>
      <c r="V1" s="111">
        <v>0.5</v>
      </c>
      <c r="W1" s="112" t="s">
        <v>73</v>
      </c>
      <c r="X1" s="112"/>
      <c r="Y1" s="111"/>
      <c r="Z1" s="113" t="e">
        <f>#REF!</f>
        <v>#REF!</v>
      </c>
      <c r="AA1" s="111"/>
      <c r="AB1" s="111" t="s">
        <v>74</v>
      </c>
      <c r="AC1" s="111" t="e">
        <f>#REF!</f>
        <v>#REF!</v>
      </c>
      <c r="AD1" s="111" t="s">
        <v>75</v>
      </c>
      <c r="AE1" s="114" t="e">
        <f>#REF!</f>
        <v>#REF!</v>
      </c>
      <c r="AF1" s="115" t="e">
        <f>+AC1*(AE1*(30.5*24-AH1)+AH1*20)</f>
        <v>#REF!</v>
      </c>
      <c r="AG1" s="115" t="s">
        <v>76</v>
      </c>
      <c r="AH1" s="115">
        <v>5</v>
      </c>
      <c r="AI1" s="111"/>
      <c r="AJ1" s="111"/>
      <c r="AK1" s="111"/>
      <c r="AL1" s="111"/>
      <c r="AM1" s="111"/>
      <c r="AN1" s="111"/>
      <c r="AO1" s="104"/>
      <c r="AP1" s="104"/>
      <c r="AQ1" s="104"/>
      <c r="AR1" s="104"/>
      <c r="AS1" s="104"/>
      <c r="AT1" s="104"/>
      <c r="AU1" s="104"/>
      <c r="AV1" s="116"/>
      <c r="AW1" s="116"/>
      <c r="AX1" s="116"/>
      <c r="AY1" s="116"/>
      <c r="AZ1" s="104"/>
      <c r="BA1" s="104"/>
      <c r="BB1" s="104"/>
    </row>
    <row r="2" spans="1:54" ht="12" customHeight="1" x14ac:dyDescent="0.3">
      <c r="A2" s="104"/>
      <c r="B2" s="105"/>
      <c r="C2" s="105"/>
      <c r="D2" s="105"/>
      <c r="E2" s="266" t="s">
        <v>77</v>
      </c>
      <c r="F2" s="266"/>
      <c r="G2" s="267" t="s">
        <v>78</v>
      </c>
      <c r="H2" s="267"/>
      <c r="I2" s="267"/>
      <c r="J2" s="267"/>
      <c r="K2" s="267"/>
      <c r="L2" s="267"/>
      <c r="M2" s="267"/>
      <c r="N2" s="267"/>
      <c r="O2" s="267"/>
      <c r="P2" s="268" t="s">
        <v>79</v>
      </c>
      <c r="Q2" s="268"/>
      <c r="R2" s="268"/>
      <c r="S2" s="268"/>
      <c r="T2" s="268"/>
      <c r="U2" s="268"/>
      <c r="V2" s="268"/>
      <c r="W2" s="268"/>
      <c r="X2" s="268"/>
      <c r="Y2" s="268"/>
      <c r="Z2" s="268"/>
      <c r="AA2" s="268"/>
      <c r="AB2" s="268" t="s">
        <v>80</v>
      </c>
      <c r="AC2" s="268"/>
      <c r="AD2" s="268"/>
      <c r="AE2" s="268"/>
      <c r="AF2" s="268"/>
      <c r="AG2" s="268" t="s">
        <v>81</v>
      </c>
      <c r="AH2" s="268"/>
      <c r="AI2" s="268"/>
      <c r="AJ2" s="268"/>
      <c r="AK2" s="268"/>
      <c r="AL2" s="268"/>
      <c r="AM2" s="268"/>
      <c r="AN2" s="268"/>
      <c r="AO2" s="265" t="s">
        <v>82</v>
      </c>
      <c r="AP2" s="265"/>
      <c r="AQ2" s="265"/>
      <c r="AR2" s="265"/>
      <c r="AS2" s="265"/>
      <c r="AT2" s="265"/>
      <c r="AU2" s="265"/>
      <c r="AV2" s="265" t="s">
        <v>83</v>
      </c>
      <c r="AW2" s="265"/>
      <c r="AX2" s="265"/>
      <c r="AY2" s="265"/>
      <c r="AZ2" s="104"/>
      <c r="BA2" s="104"/>
      <c r="BB2" s="104"/>
    </row>
    <row r="3" spans="1:54" ht="24" x14ac:dyDescent="0.3">
      <c r="A3" s="118" t="s">
        <v>84</v>
      </c>
      <c r="B3" s="119" t="s">
        <v>85</v>
      </c>
      <c r="C3" s="119" t="s">
        <v>86</v>
      </c>
      <c r="D3" s="119" t="s">
        <v>87</v>
      </c>
      <c r="E3" s="117" t="s">
        <v>88</v>
      </c>
      <c r="F3" s="117" t="s">
        <v>89</v>
      </c>
      <c r="G3" s="117" t="s">
        <v>90</v>
      </c>
      <c r="H3" s="117" t="s">
        <v>91</v>
      </c>
      <c r="I3" s="120" t="s">
        <v>92</v>
      </c>
      <c r="J3" s="117" t="s">
        <v>93</v>
      </c>
      <c r="K3" s="119" t="s">
        <v>94</v>
      </c>
      <c r="L3" s="121" t="s">
        <v>95</v>
      </c>
      <c r="M3" s="117" t="s">
        <v>96</v>
      </c>
      <c r="N3" s="117" t="s">
        <v>97</v>
      </c>
      <c r="O3" s="117" t="s">
        <v>98</v>
      </c>
      <c r="P3" s="122" t="s">
        <v>99</v>
      </c>
      <c r="Q3" s="120" t="s">
        <v>92</v>
      </c>
      <c r="R3" s="120" t="s">
        <v>100</v>
      </c>
      <c r="S3" s="120" t="s">
        <v>101</v>
      </c>
      <c r="T3" s="123" t="s">
        <v>102</v>
      </c>
      <c r="U3" s="117" t="s">
        <v>103</v>
      </c>
      <c r="V3" s="120" t="s">
        <v>104</v>
      </c>
      <c r="W3" s="120" t="s">
        <v>105</v>
      </c>
      <c r="X3" s="120" t="s">
        <v>106</v>
      </c>
      <c r="Y3" s="120" t="s">
        <v>107</v>
      </c>
      <c r="Z3" s="120" t="s">
        <v>108</v>
      </c>
      <c r="AA3" s="120" t="s">
        <v>109</v>
      </c>
      <c r="AB3" s="120" t="s">
        <v>110</v>
      </c>
      <c r="AC3" s="118" t="s">
        <v>111</v>
      </c>
      <c r="AD3" s="124" t="s">
        <v>112</v>
      </c>
      <c r="AE3" s="124" t="s">
        <v>113</v>
      </c>
      <c r="AF3" s="124" t="s">
        <v>114</v>
      </c>
      <c r="AG3" s="124" t="s">
        <v>99</v>
      </c>
      <c r="AH3" s="124" t="s">
        <v>92</v>
      </c>
      <c r="AI3" s="124" t="s">
        <v>93</v>
      </c>
      <c r="AJ3" s="124" t="s">
        <v>94</v>
      </c>
      <c r="AK3" s="124" t="s">
        <v>115</v>
      </c>
      <c r="AL3" s="125" t="s">
        <v>96</v>
      </c>
      <c r="AM3" s="124" t="s">
        <v>103</v>
      </c>
      <c r="AN3" s="124" t="s">
        <v>116</v>
      </c>
      <c r="AO3" s="124" t="s">
        <v>117</v>
      </c>
      <c r="AP3" s="124" t="s">
        <v>118</v>
      </c>
      <c r="AQ3" s="124" t="s">
        <v>119</v>
      </c>
      <c r="AR3" s="124" t="s">
        <v>81</v>
      </c>
      <c r="AS3" s="124" t="s">
        <v>120</v>
      </c>
      <c r="AT3" s="124" t="s">
        <v>121</v>
      </c>
      <c r="AU3" s="124" t="s">
        <v>122</v>
      </c>
      <c r="AV3" s="126" t="s">
        <v>123</v>
      </c>
      <c r="AW3" s="126" t="s">
        <v>124</v>
      </c>
      <c r="AX3" s="126" t="s">
        <v>125</v>
      </c>
      <c r="AY3" s="126" t="s">
        <v>126</v>
      </c>
      <c r="AZ3" s="118" t="s">
        <v>127</v>
      </c>
      <c r="BA3" s="118" t="s">
        <v>128</v>
      </c>
      <c r="BB3" s="118"/>
    </row>
    <row r="4" spans="1:54" ht="13.8" x14ac:dyDescent="0.3">
      <c r="A4" s="198" t="s">
        <v>28</v>
      </c>
      <c r="B4" s="198" t="s">
        <v>28</v>
      </c>
      <c r="C4" s="130" t="s">
        <v>129</v>
      </c>
      <c r="D4" s="127" t="s">
        <v>130</v>
      </c>
      <c r="E4" s="199" t="s">
        <v>131</v>
      </c>
      <c r="F4" s="130" t="s">
        <v>132</v>
      </c>
      <c r="G4" s="200" t="s">
        <v>133</v>
      </c>
      <c r="H4" s="200" t="s">
        <v>134</v>
      </c>
      <c r="I4" s="127" t="str">
        <f t="shared" ref="I4:I35" si="0">IF(G4="Rack","No of Racks",(IF(G4="Space","Sq Ft","U Space")))</f>
        <v>No of Racks</v>
      </c>
      <c r="J4" s="201">
        <v>50</v>
      </c>
      <c r="K4" s="201">
        <v>50</v>
      </c>
      <c r="L4" s="202">
        <f t="shared" ref="L4:L35" si="1">J4-K4</f>
        <v>0</v>
      </c>
      <c r="M4" s="127">
        <f t="shared" ref="M4:M35" si="2">J4</f>
        <v>50</v>
      </c>
      <c r="N4" s="127">
        <f t="shared" ref="N4:N35" si="3">J4-M4</f>
        <v>0</v>
      </c>
      <c r="O4" s="203">
        <f>316000/12</f>
        <v>26333.333333333332</v>
      </c>
      <c r="P4" s="204" t="str">
        <f t="shared" ref="P4:P35" si="4">E4</f>
        <v>Subscribed</v>
      </c>
      <c r="Q4" s="200" t="s">
        <v>135</v>
      </c>
      <c r="R4" s="205">
        <v>305</v>
      </c>
      <c r="S4" s="196">
        <f>AF4/672</f>
        <v>63.639211309523816</v>
      </c>
      <c r="T4" s="195">
        <f>R4-S4</f>
        <v>241.36078869047617</v>
      </c>
      <c r="U4" s="127">
        <v>0</v>
      </c>
      <c r="V4" s="196">
        <f t="shared" ref="V4:V35" si="5">IF(T4&lt;=0,0,(IF(P4="Rated",(T4+U4)*$V$1,(T4+U4))))</f>
        <v>241.36078869047617</v>
      </c>
      <c r="W4" s="196">
        <f t="shared" ref="W4:W35" si="6">IF(P4="Rated",R4*$V$1,R4)</f>
        <v>305</v>
      </c>
      <c r="X4" s="196">
        <f t="shared" ref="X4:X35" si="7">S4</f>
        <v>63.639211309523816</v>
      </c>
      <c r="Y4" s="196">
        <f t="shared" ref="Y4:Y35" si="8">S4</f>
        <v>63.639211309523816</v>
      </c>
      <c r="Z4" s="196">
        <f t="shared" ref="Z4:Z35" si="9">T4*-1</f>
        <v>-241.36078869047617</v>
      </c>
      <c r="AA4" s="206"/>
      <c r="AB4" s="207" t="s">
        <v>132</v>
      </c>
      <c r="AC4" s="127">
        <v>1.6</v>
      </c>
      <c r="AD4" s="208" t="s">
        <v>136</v>
      </c>
      <c r="AE4" s="127"/>
      <c r="AF4" s="244">
        <v>42765.55</v>
      </c>
      <c r="AG4" s="209" t="s">
        <v>137</v>
      </c>
      <c r="AH4" s="127" t="s">
        <v>138</v>
      </c>
      <c r="AI4" s="127">
        <v>5</v>
      </c>
      <c r="AJ4" s="127">
        <v>5</v>
      </c>
      <c r="AK4" s="127">
        <f t="shared" ref="AK4:AK35" si="10">AI4-AJ4</f>
        <v>0</v>
      </c>
      <c r="AL4" s="127">
        <f t="shared" ref="AL4:AL35" si="11">AI4</f>
        <v>5</v>
      </c>
      <c r="AM4" s="127">
        <v>0</v>
      </c>
      <c r="AN4" s="210"/>
      <c r="AO4" s="211">
        <f t="shared" ref="AO4:AO38" si="12">O4*M4</f>
        <v>1316666.6666666665</v>
      </c>
      <c r="AP4" s="206"/>
      <c r="AQ4" s="206">
        <f t="shared" ref="AQ4:AQ38" si="13">AF4*AE4*AC4</f>
        <v>0</v>
      </c>
      <c r="AR4" s="206">
        <f t="shared" ref="AR4:AR38" si="14">AN4*AL4</f>
        <v>0</v>
      </c>
      <c r="AS4" s="203"/>
      <c r="AT4" s="212">
        <f t="shared" ref="AT4:AT38" si="15">SUBTOTAL(9,AO4:AS4)</f>
        <v>1316666.6666666665</v>
      </c>
      <c r="AU4" s="212"/>
      <c r="AV4" s="213"/>
      <c r="AW4" s="128"/>
      <c r="AX4" s="127"/>
      <c r="AY4" s="128"/>
      <c r="AZ4" s="127"/>
      <c r="BA4" s="127"/>
      <c r="BB4" s="127"/>
    </row>
    <row r="5" spans="1:54" ht="13.8" x14ac:dyDescent="0.3">
      <c r="A5" s="198" t="s">
        <v>30</v>
      </c>
      <c r="B5" s="198" t="s">
        <v>30</v>
      </c>
      <c r="C5" s="127" t="s">
        <v>139</v>
      </c>
      <c r="D5" s="127" t="s">
        <v>130</v>
      </c>
      <c r="E5" s="200" t="s">
        <v>131</v>
      </c>
      <c r="F5" s="208" t="s">
        <v>132</v>
      </c>
      <c r="G5" s="200" t="s">
        <v>133</v>
      </c>
      <c r="H5" s="200" t="s">
        <v>134</v>
      </c>
      <c r="I5" s="127" t="str">
        <f t="shared" si="0"/>
        <v>No of Racks</v>
      </c>
      <c r="J5" s="201">
        <v>255</v>
      </c>
      <c r="K5" s="201">
        <v>255</v>
      </c>
      <c r="L5" s="202">
        <f t="shared" si="1"/>
        <v>0</v>
      </c>
      <c r="M5" s="127">
        <f t="shared" si="2"/>
        <v>255</v>
      </c>
      <c r="N5" s="127">
        <f t="shared" si="3"/>
        <v>0</v>
      </c>
      <c r="O5" s="203">
        <f>((280000)+(81840))/12</f>
        <v>30153.333333333332</v>
      </c>
      <c r="P5" s="204" t="str">
        <f t="shared" si="4"/>
        <v>Subscribed</v>
      </c>
      <c r="Q5" s="200" t="s">
        <v>6</v>
      </c>
      <c r="R5" s="205">
        <v>1020</v>
      </c>
      <c r="S5" s="196">
        <f t="shared" ref="S5:S7" si="16">AF5/672</f>
        <v>530.03111607142853</v>
      </c>
      <c r="T5" s="195">
        <f t="shared" ref="T5:T35" si="17">R5-S5</f>
        <v>489.96888392857147</v>
      </c>
      <c r="U5" s="127">
        <v>0</v>
      </c>
      <c r="V5" s="196">
        <f t="shared" si="5"/>
        <v>489.96888392857147</v>
      </c>
      <c r="W5" s="196">
        <f t="shared" si="6"/>
        <v>1020</v>
      </c>
      <c r="X5" s="196">
        <f t="shared" si="7"/>
        <v>530.03111607142853</v>
      </c>
      <c r="Y5" s="196">
        <f t="shared" si="8"/>
        <v>530.03111607142853</v>
      </c>
      <c r="Z5" s="196">
        <f t="shared" si="9"/>
        <v>-489.96888392857147</v>
      </c>
      <c r="AA5" s="206"/>
      <c r="AB5" s="207" t="s">
        <v>132</v>
      </c>
      <c r="AC5" s="127">
        <v>1.75</v>
      </c>
      <c r="AD5" s="208" t="s">
        <v>140</v>
      </c>
      <c r="AE5" s="127"/>
      <c r="AF5" s="245">
        <v>356180.91</v>
      </c>
      <c r="AG5" s="209" t="s">
        <v>137</v>
      </c>
      <c r="AH5" s="127" t="s">
        <v>138</v>
      </c>
      <c r="AI5" s="127">
        <v>28</v>
      </c>
      <c r="AJ5" s="127">
        <v>28</v>
      </c>
      <c r="AK5" s="127">
        <f t="shared" si="10"/>
        <v>0</v>
      </c>
      <c r="AL5" s="127">
        <f t="shared" si="11"/>
        <v>28</v>
      </c>
      <c r="AM5" s="127">
        <v>0</v>
      </c>
      <c r="AN5" s="210">
        <v>4112</v>
      </c>
      <c r="AO5" s="211">
        <f t="shared" si="12"/>
        <v>7689100</v>
      </c>
      <c r="AP5" s="206"/>
      <c r="AQ5" s="206">
        <f t="shared" si="13"/>
        <v>0</v>
      </c>
      <c r="AR5" s="206">
        <f t="shared" si="14"/>
        <v>115136</v>
      </c>
      <c r="AS5" s="203">
        <v>875306</v>
      </c>
      <c r="AT5" s="212">
        <f t="shared" si="15"/>
        <v>8679542</v>
      </c>
      <c r="AU5" s="212"/>
      <c r="AV5" s="213"/>
      <c r="AW5" s="128"/>
      <c r="AX5" s="127"/>
      <c r="AY5" s="128"/>
      <c r="AZ5" s="127"/>
      <c r="BA5" s="127"/>
      <c r="BB5" s="127"/>
    </row>
    <row r="6" spans="1:54" ht="13.8" x14ac:dyDescent="0.3">
      <c r="A6" s="198" t="s">
        <v>29</v>
      </c>
      <c r="B6" s="198" t="s">
        <v>141</v>
      </c>
      <c r="C6" s="127" t="s">
        <v>142</v>
      </c>
      <c r="D6" s="127" t="s">
        <v>130</v>
      </c>
      <c r="E6" s="200" t="s">
        <v>131</v>
      </c>
      <c r="F6" s="208" t="s">
        <v>132</v>
      </c>
      <c r="G6" s="200" t="s">
        <v>133</v>
      </c>
      <c r="H6" s="200" t="s">
        <v>134</v>
      </c>
      <c r="I6" s="127" t="str">
        <f t="shared" si="0"/>
        <v>No of Racks</v>
      </c>
      <c r="J6" s="201">
        <v>55</v>
      </c>
      <c r="K6" s="201">
        <v>55</v>
      </c>
      <c r="L6" s="202">
        <f t="shared" si="1"/>
        <v>0</v>
      </c>
      <c r="M6" s="127">
        <f t="shared" si="2"/>
        <v>55</v>
      </c>
      <c r="N6" s="127">
        <f t="shared" si="3"/>
        <v>0</v>
      </c>
      <c r="O6" s="203">
        <v>38896</v>
      </c>
      <c r="P6" s="204" t="str">
        <f t="shared" si="4"/>
        <v>Subscribed</v>
      </c>
      <c r="Q6" s="200" t="s">
        <v>6</v>
      </c>
      <c r="R6" s="205">
        <v>452</v>
      </c>
      <c r="S6" s="196">
        <f t="shared" si="16"/>
        <v>173.07907738095238</v>
      </c>
      <c r="T6" s="195">
        <f t="shared" si="17"/>
        <v>278.92092261904759</v>
      </c>
      <c r="U6" s="127">
        <v>0</v>
      </c>
      <c r="V6" s="196">
        <f t="shared" si="5"/>
        <v>278.92092261904759</v>
      </c>
      <c r="W6" s="196">
        <f t="shared" si="6"/>
        <v>452</v>
      </c>
      <c r="X6" s="196">
        <f t="shared" si="7"/>
        <v>173.07907738095238</v>
      </c>
      <c r="Y6" s="196">
        <f t="shared" si="8"/>
        <v>173.07907738095238</v>
      </c>
      <c r="Z6" s="196">
        <f t="shared" si="9"/>
        <v>-278.92092261904759</v>
      </c>
      <c r="AA6" s="206"/>
      <c r="AB6" s="207" t="s">
        <v>132</v>
      </c>
      <c r="AC6" s="127">
        <v>1.8</v>
      </c>
      <c r="AD6" s="196"/>
      <c r="AE6" s="127"/>
      <c r="AF6" s="245">
        <v>116309.14</v>
      </c>
      <c r="AG6" s="209" t="s">
        <v>137</v>
      </c>
      <c r="AH6" s="127" t="s">
        <v>138</v>
      </c>
      <c r="AI6" s="127">
        <v>8</v>
      </c>
      <c r="AJ6" s="127">
        <v>8</v>
      </c>
      <c r="AK6" s="127">
        <f t="shared" si="10"/>
        <v>0</v>
      </c>
      <c r="AL6" s="127">
        <f t="shared" si="11"/>
        <v>8</v>
      </c>
      <c r="AM6" s="127">
        <v>0</v>
      </c>
      <c r="AN6" s="210"/>
      <c r="AO6" s="211">
        <f t="shared" si="12"/>
        <v>2139280</v>
      </c>
      <c r="AP6" s="206"/>
      <c r="AQ6" s="206">
        <f t="shared" si="13"/>
        <v>0</v>
      </c>
      <c r="AR6" s="206">
        <f t="shared" si="14"/>
        <v>0</v>
      </c>
      <c r="AS6" s="203"/>
      <c r="AT6" s="212">
        <f t="shared" si="15"/>
        <v>2139280</v>
      </c>
      <c r="AU6" s="212"/>
      <c r="AV6" s="213"/>
      <c r="AW6" s="128"/>
      <c r="AX6" s="127"/>
      <c r="AY6" s="128"/>
      <c r="AZ6" s="127"/>
      <c r="BA6" s="127"/>
      <c r="BB6" s="127"/>
    </row>
    <row r="7" spans="1:54" ht="13.8" x14ac:dyDescent="0.3">
      <c r="A7" s="198" t="s">
        <v>29</v>
      </c>
      <c r="B7" s="198" t="s">
        <v>141</v>
      </c>
      <c r="C7" s="127" t="s">
        <v>143</v>
      </c>
      <c r="D7" s="127" t="s">
        <v>144</v>
      </c>
      <c r="E7" s="200" t="s">
        <v>131</v>
      </c>
      <c r="F7" s="208" t="s">
        <v>132</v>
      </c>
      <c r="G7" s="200" t="s">
        <v>133</v>
      </c>
      <c r="H7" s="200" t="s">
        <v>145</v>
      </c>
      <c r="I7" s="127" t="str">
        <f t="shared" si="0"/>
        <v>No of Racks</v>
      </c>
      <c r="J7" s="201">
        <v>5</v>
      </c>
      <c r="K7" s="201">
        <v>5</v>
      </c>
      <c r="L7" s="202">
        <f t="shared" si="1"/>
        <v>0</v>
      </c>
      <c r="M7" s="127">
        <f t="shared" si="2"/>
        <v>5</v>
      </c>
      <c r="N7" s="127">
        <f t="shared" si="3"/>
        <v>0</v>
      </c>
      <c r="O7" s="203">
        <f>1232624/12/5</f>
        <v>20543.733333333334</v>
      </c>
      <c r="P7" s="204" t="str">
        <f t="shared" si="4"/>
        <v>Subscribed</v>
      </c>
      <c r="Q7" s="200" t="s">
        <v>6</v>
      </c>
      <c r="R7" s="205">
        <v>45</v>
      </c>
      <c r="S7" s="196">
        <f t="shared" si="16"/>
        <v>17.058184523809523</v>
      </c>
      <c r="T7" s="195">
        <f t="shared" si="17"/>
        <v>27.941815476190477</v>
      </c>
      <c r="U7" s="127">
        <v>0</v>
      </c>
      <c r="V7" s="196">
        <f t="shared" si="5"/>
        <v>27.941815476190477</v>
      </c>
      <c r="W7" s="196">
        <f t="shared" si="6"/>
        <v>45</v>
      </c>
      <c r="X7" s="196">
        <f t="shared" si="7"/>
        <v>17.058184523809523</v>
      </c>
      <c r="Y7" s="196">
        <f t="shared" si="8"/>
        <v>17.058184523809523</v>
      </c>
      <c r="Z7" s="196">
        <f t="shared" si="9"/>
        <v>-27.941815476190477</v>
      </c>
      <c r="AA7" s="206"/>
      <c r="AB7" s="207" t="s">
        <v>132</v>
      </c>
      <c r="AC7" s="127">
        <v>1.8</v>
      </c>
      <c r="AD7" s="196"/>
      <c r="AE7" s="127"/>
      <c r="AF7" s="245">
        <v>11463.1</v>
      </c>
      <c r="AG7" s="209" t="s">
        <v>137</v>
      </c>
      <c r="AH7" s="127" t="s">
        <v>138</v>
      </c>
      <c r="AI7" s="127">
        <v>0</v>
      </c>
      <c r="AJ7" s="127">
        <v>0</v>
      </c>
      <c r="AK7" s="127">
        <f t="shared" si="10"/>
        <v>0</v>
      </c>
      <c r="AL7" s="127">
        <f t="shared" si="11"/>
        <v>0</v>
      </c>
      <c r="AM7" s="127">
        <v>0</v>
      </c>
      <c r="AN7" s="210"/>
      <c r="AO7" s="211">
        <f t="shared" si="12"/>
        <v>102718.66666666667</v>
      </c>
      <c r="AP7" s="206"/>
      <c r="AQ7" s="206">
        <f t="shared" si="13"/>
        <v>0</v>
      </c>
      <c r="AR7" s="206">
        <f t="shared" si="14"/>
        <v>0</v>
      </c>
      <c r="AS7" s="203"/>
      <c r="AT7" s="212">
        <f t="shared" si="15"/>
        <v>102718.66666666667</v>
      </c>
      <c r="AU7" s="212"/>
      <c r="AV7" s="213"/>
      <c r="AW7" s="128"/>
      <c r="AX7" s="127"/>
      <c r="AY7" s="128"/>
      <c r="AZ7" s="127"/>
      <c r="BA7" s="127"/>
      <c r="BB7" s="127"/>
    </row>
    <row r="8" spans="1:54" ht="12" x14ac:dyDescent="0.25">
      <c r="A8" s="198" t="s">
        <v>29</v>
      </c>
      <c r="B8" s="198" t="s">
        <v>141</v>
      </c>
      <c r="C8" s="213" t="s">
        <v>146</v>
      </c>
      <c r="D8" s="127" t="s">
        <v>144</v>
      </c>
      <c r="E8" s="200" t="s">
        <v>147</v>
      </c>
      <c r="F8" s="208" t="s">
        <v>148</v>
      </c>
      <c r="G8" s="200" t="s">
        <v>133</v>
      </c>
      <c r="H8" s="200" t="s">
        <v>145</v>
      </c>
      <c r="I8" s="127" t="str">
        <f t="shared" si="0"/>
        <v>No of Racks</v>
      </c>
      <c r="J8" s="214">
        <v>1</v>
      </c>
      <c r="K8" s="214">
        <v>1</v>
      </c>
      <c r="L8" s="202">
        <f t="shared" si="1"/>
        <v>0</v>
      </c>
      <c r="M8" s="127">
        <f t="shared" si="2"/>
        <v>1</v>
      </c>
      <c r="N8" s="127">
        <f t="shared" si="3"/>
        <v>0</v>
      </c>
      <c r="O8" s="203"/>
      <c r="P8" s="204" t="str">
        <f t="shared" si="4"/>
        <v>Rated</v>
      </c>
      <c r="Q8" s="200" t="s">
        <v>6</v>
      </c>
      <c r="R8" s="215">
        <v>12</v>
      </c>
      <c r="S8" s="196">
        <v>11.61</v>
      </c>
      <c r="T8" s="195">
        <f t="shared" si="17"/>
        <v>0.39000000000000057</v>
      </c>
      <c r="U8" s="127">
        <v>0</v>
      </c>
      <c r="V8" s="196">
        <f t="shared" si="5"/>
        <v>0.19500000000000028</v>
      </c>
      <c r="W8" s="196">
        <f t="shared" si="6"/>
        <v>6</v>
      </c>
      <c r="X8" s="196">
        <f t="shared" si="7"/>
        <v>11.61</v>
      </c>
      <c r="Y8" s="196">
        <f t="shared" si="8"/>
        <v>11.61</v>
      </c>
      <c r="Z8" s="196">
        <f t="shared" si="9"/>
        <v>-0.39000000000000057</v>
      </c>
      <c r="AA8" s="206">
        <f>90000/12</f>
        <v>7500</v>
      </c>
      <c r="AB8" s="207" t="s">
        <v>147</v>
      </c>
      <c r="AC8" s="127">
        <v>1.8</v>
      </c>
      <c r="AD8" s="196"/>
      <c r="AE8" s="216"/>
      <c r="AF8" s="216"/>
      <c r="AG8" s="209" t="s">
        <v>137</v>
      </c>
      <c r="AH8" s="127" t="s">
        <v>138</v>
      </c>
      <c r="AI8" s="127">
        <v>0</v>
      </c>
      <c r="AJ8" s="127">
        <v>0</v>
      </c>
      <c r="AK8" s="127">
        <f t="shared" si="10"/>
        <v>0</v>
      </c>
      <c r="AL8" s="127">
        <f t="shared" si="11"/>
        <v>0</v>
      </c>
      <c r="AM8" s="127">
        <v>0</v>
      </c>
      <c r="AN8" s="210"/>
      <c r="AO8" s="211">
        <f t="shared" si="12"/>
        <v>0</v>
      </c>
      <c r="AP8" s="206"/>
      <c r="AQ8" s="206">
        <f t="shared" si="13"/>
        <v>0</v>
      </c>
      <c r="AR8" s="206">
        <f t="shared" si="14"/>
        <v>0</v>
      </c>
      <c r="AS8" s="203"/>
      <c r="AT8" s="212">
        <f t="shared" si="15"/>
        <v>0</v>
      </c>
      <c r="AU8" s="212"/>
      <c r="AV8" s="213"/>
      <c r="AW8" s="128"/>
      <c r="AX8" s="127"/>
      <c r="AY8" s="128"/>
      <c r="AZ8" s="127"/>
      <c r="BA8" s="127"/>
      <c r="BB8" s="127"/>
    </row>
    <row r="9" spans="1:54" ht="13.8" x14ac:dyDescent="0.3">
      <c r="A9" s="198" t="s">
        <v>29</v>
      </c>
      <c r="B9" s="198" t="s">
        <v>149</v>
      </c>
      <c r="C9" s="129" t="s">
        <v>150</v>
      </c>
      <c r="D9" s="127" t="s">
        <v>130</v>
      </c>
      <c r="E9" s="200" t="s">
        <v>131</v>
      </c>
      <c r="F9" s="208" t="s">
        <v>132</v>
      </c>
      <c r="G9" s="200" t="s">
        <v>78</v>
      </c>
      <c r="H9" s="200" t="s">
        <v>134</v>
      </c>
      <c r="I9" s="127" t="str">
        <f t="shared" si="0"/>
        <v>Sq Ft</v>
      </c>
      <c r="J9" s="214">
        <v>600</v>
      </c>
      <c r="K9" s="214">
        <v>600</v>
      </c>
      <c r="L9" s="202">
        <f t="shared" si="1"/>
        <v>0</v>
      </c>
      <c r="M9" s="127">
        <f t="shared" si="2"/>
        <v>600</v>
      </c>
      <c r="N9" s="127">
        <f t="shared" si="3"/>
        <v>0</v>
      </c>
      <c r="O9" s="203">
        <v>736</v>
      </c>
      <c r="P9" s="204" t="str">
        <f t="shared" si="4"/>
        <v>Subscribed</v>
      </c>
      <c r="Q9" s="200" t="s">
        <v>6</v>
      </c>
      <c r="R9" s="215">
        <v>60</v>
      </c>
      <c r="S9" s="196">
        <f t="shared" ref="S9:S14" si="18">AF9/672</f>
        <v>58.063288690476192</v>
      </c>
      <c r="T9" s="195">
        <f t="shared" si="17"/>
        <v>1.9367113095238082</v>
      </c>
      <c r="U9" s="196">
        <v>0</v>
      </c>
      <c r="V9" s="196">
        <f t="shared" si="5"/>
        <v>1.9367113095238082</v>
      </c>
      <c r="W9" s="196">
        <f t="shared" si="6"/>
        <v>60</v>
      </c>
      <c r="X9" s="196">
        <f t="shared" si="7"/>
        <v>58.063288690476192</v>
      </c>
      <c r="Y9" s="196">
        <f t="shared" si="8"/>
        <v>58.063288690476192</v>
      </c>
      <c r="Z9" s="196">
        <f t="shared" si="9"/>
        <v>-1.9367113095238082</v>
      </c>
      <c r="AA9" s="206"/>
      <c r="AB9" s="217" t="s">
        <v>132</v>
      </c>
      <c r="AC9" s="127">
        <v>1.8</v>
      </c>
      <c r="AD9" s="196"/>
      <c r="AE9" s="127"/>
      <c r="AF9" s="245">
        <v>39018.53</v>
      </c>
      <c r="AG9" s="209" t="s">
        <v>137</v>
      </c>
      <c r="AH9" s="127" t="s">
        <v>138</v>
      </c>
      <c r="AI9" s="218">
        <v>10</v>
      </c>
      <c r="AJ9" s="218">
        <v>10</v>
      </c>
      <c r="AK9" s="127">
        <f t="shared" si="10"/>
        <v>0</v>
      </c>
      <c r="AL9" s="218">
        <f t="shared" si="11"/>
        <v>10</v>
      </c>
      <c r="AM9" s="127">
        <v>0</v>
      </c>
      <c r="AN9" s="210"/>
      <c r="AO9" s="211">
        <f t="shared" si="12"/>
        <v>441600</v>
      </c>
      <c r="AP9" s="206"/>
      <c r="AQ9" s="206">
        <f t="shared" si="13"/>
        <v>0</v>
      </c>
      <c r="AR9" s="206">
        <f t="shared" si="14"/>
        <v>0</v>
      </c>
      <c r="AS9" s="203"/>
      <c r="AT9" s="212">
        <f t="shared" si="15"/>
        <v>441600</v>
      </c>
      <c r="AU9" s="212"/>
      <c r="AV9" s="213"/>
      <c r="AW9" s="128"/>
      <c r="AX9" s="127"/>
      <c r="AY9" s="128"/>
      <c r="AZ9" s="127"/>
      <c r="BA9" s="127"/>
      <c r="BB9" s="127"/>
    </row>
    <row r="10" spans="1:54" ht="13.8" x14ac:dyDescent="0.3">
      <c r="A10" s="198" t="s">
        <v>29</v>
      </c>
      <c r="B10" s="198" t="s">
        <v>149</v>
      </c>
      <c r="C10" s="133" t="s">
        <v>151</v>
      </c>
      <c r="D10" s="127" t="s">
        <v>130</v>
      </c>
      <c r="E10" s="200" t="s">
        <v>131</v>
      </c>
      <c r="F10" s="208" t="s">
        <v>132</v>
      </c>
      <c r="G10" s="200" t="s">
        <v>133</v>
      </c>
      <c r="H10" s="200" t="s">
        <v>145</v>
      </c>
      <c r="I10" s="127" t="str">
        <f t="shared" si="0"/>
        <v>No of Racks</v>
      </c>
      <c r="J10" s="214">
        <v>14</v>
      </c>
      <c r="K10" s="214">
        <v>14</v>
      </c>
      <c r="L10" s="202">
        <f t="shared" si="1"/>
        <v>0</v>
      </c>
      <c r="M10" s="127">
        <f t="shared" si="2"/>
        <v>14</v>
      </c>
      <c r="N10" s="127">
        <f t="shared" si="3"/>
        <v>0</v>
      </c>
      <c r="O10" s="203">
        <f>160000/12</f>
        <v>13333.333333333334</v>
      </c>
      <c r="P10" s="204" t="str">
        <f t="shared" si="4"/>
        <v>Subscribed</v>
      </c>
      <c r="Q10" s="200" t="s">
        <v>6</v>
      </c>
      <c r="R10" s="215">
        <v>102.5</v>
      </c>
      <c r="S10" s="196">
        <f t="shared" si="18"/>
        <v>26.249747023809526</v>
      </c>
      <c r="T10" s="195">
        <f t="shared" si="17"/>
        <v>76.250252976190467</v>
      </c>
      <c r="U10" s="196">
        <v>0</v>
      </c>
      <c r="V10" s="196">
        <f t="shared" si="5"/>
        <v>76.250252976190467</v>
      </c>
      <c r="W10" s="196">
        <f t="shared" si="6"/>
        <v>102.5</v>
      </c>
      <c r="X10" s="196">
        <f t="shared" si="7"/>
        <v>26.249747023809526</v>
      </c>
      <c r="Y10" s="196">
        <f t="shared" si="8"/>
        <v>26.249747023809526</v>
      </c>
      <c r="Z10" s="196">
        <f t="shared" si="9"/>
        <v>-76.250252976190467</v>
      </c>
      <c r="AA10" s="206"/>
      <c r="AB10" s="217" t="s">
        <v>132</v>
      </c>
      <c r="AC10" s="196">
        <v>1.8</v>
      </c>
      <c r="AD10" s="196"/>
      <c r="AE10" s="127"/>
      <c r="AF10" s="245">
        <v>17639.830000000002</v>
      </c>
      <c r="AG10" s="209" t="s">
        <v>137</v>
      </c>
      <c r="AH10" s="127" t="s">
        <v>138</v>
      </c>
      <c r="AI10" s="218">
        <v>3</v>
      </c>
      <c r="AJ10" s="218">
        <v>3</v>
      </c>
      <c r="AK10" s="127">
        <f t="shared" si="10"/>
        <v>0</v>
      </c>
      <c r="AL10" s="218">
        <f t="shared" si="11"/>
        <v>3</v>
      </c>
      <c r="AM10" s="196">
        <v>0</v>
      </c>
      <c r="AN10" s="210"/>
      <c r="AO10" s="211">
        <f t="shared" si="12"/>
        <v>186666.66666666669</v>
      </c>
      <c r="AP10" s="206"/>
      <c r="AQ10" s="206">
        <f t="shared" si="13"/>
        <v>0</v>
      </c>
      <c r="AR10" s="206">
        <f t="shared" si="14"/>
        <v>0</v>
      </c>
      <c r="AS10" s="203"/>
      <c r="AT10" s="212">
        <f t="shared" si="15"/>
        <v>186666.66666666669</v>
      </c>
      <c r="AU10" s="212"/>
      <c r="AV10" s="213"/>
      <c r="AW10" s="128"/>
      <c r="AX10" s="127"/>
      <c r="AY10" s="128"/>
      <c r="AZ10" s="127"/>
      <c r="BA10" s="127"/>
      <c r="BB10" s="127"/>
    </row>
    <row r="11" spans="1:54" ht="13.8" x14ac:dyDescent="0.3">
      <c r="A11" s="198" t="s">
        <v>29</v>
      </c>
      <c r="B11" s="198" t="s">
        <v>149</v>
      </c>
      <c r="C11" s="219" t="s">
        <v>152</v>
      </c>
      <c r="D11" s="127" t="s">
        <v>130</v>
      </c>
      <c r="E11" s="200" t="s">
        <v>131</v>
      </c>
      <c r="F11" s="208" t="s">
        <v>132</v>
      </c>
      <c r="G11" s="200" t="s">
        <v>133</v>
      </c>
      <c r="H11" s="200" t="s">
        <v>134</v>
      </c>
      <c r="I11" s="127" t="str">
        <f t="shared" si="0"/>
        <v>No of Racks</v>
      </c>
      <c r="J11" s="201">
        <v>5</v>
      </c>
      <c r="K11" s="201">
        <v>5</v>
      </c>
      <c r="L11" s="202">
        <f t="shared" si="1"/>
        <v>0</v>
      </c>
      <c r="M11" s="127">
        <f t="shared" si="2"/>
        <v>5</v>
      </c>
      <c r="N11" s="127">
        <f t="shared" si="3"/>
        <v>0</v>
      </c>
      <c r="O11" s="203">
        <v>46250</v>
      </c>
      <c r="P11" s="204" t="str">
        <f t="shared" si="4"/>
        <v>Subscribed</v>
      </c>
      <c r="Q11" s="200" t="s">
        <v>6</v>
      </c>
      <c r="R11" s="205">
        <v>12.5</v>
      </c>
      <c r="S11" s="196">
        <f t="shared" si="18"/>
        <v>10.335580357142858</v>
      </c>
      <c r="T11" s="195">
        <f t="shared" si="17"/>
        <v>2.1644196428571423</v>
      </c>
      <c r="U11" s="196">
        <v>0</v>
      </c>
      <c r="V11" s="196">
        <f t="shared" si="5"/>
        <v>2.1644196428571423</v>
      </c>
      <c r="W11" s="196">
        <f t="shared" si="6"/>
        <v>12.5</v>
      </c>
      <c r="X11" s="196">
        <f t="shared" si="7"/>
        <v>10.335580357142858</v>
      </c>
      <c r="Y11" s="196">
        <f t="shared" si="8"/>
        <v>10.335580357142858</v>
      </c>
      <c r="Z11" s="196">
        <f t="shared" si="9"/>
        <v>-2.1644196428571423</v>
      </c>
      <c r="AA11" s="220">
        <f>80000/12</f>
        <v>6666.666666666667</v>
      </c>
      <c r="AB11" s="207" t="s">
        <v>132</v>
      </c>
      <c r="AC11" s="196">
        <v>1.8</v>
      </c>
      <c r="AD11" s="196"/>
      <c r="AE11" s="127"/>
      <c r="AF11" s="245">
        <v>6945.51</v>
      </c>
      <c r="AG11" s="209" t="s">
        <v>137</v>
      </c>
      <c r="AH11" s="127" t="s">
        <v>138</v>
      </c>
      <c r="AI11" s="218">
        <v>1</v>
      </c>
      <c r="AJ11" s="218">
        <v>1</v>
      </c>
      <c r="AK11" s="127">
        <f t="shared" si="10"/>
        <v>0</v>
      </c>
      <c r="AL11" s="218">
        <f t="shared" si="11"/>
        <v>1</v>
      </c>
      <c r="AM11" s="196">
        <v>0</v>
      </c>
      <c r="AN11" s="210"/>
      <c r="AO11" s="211">
        <f t="shared" si="12"/>
        <v>231250</v>
      </c>
      <c r="AP11" s="206"/>
      <c r="AQ11" s="206">
        <f t="shared" si="13"/>
        <v>0</v>
      </c>
      <c r="AR11" s="206">
        <f t="shared" si="14"/>
        <v>0</v>
      </c>
      <c r="AS11" s="203"/>
      <c r="AT11" s="212">
        <f t="shared" si="15"/>
        <v>231250</v>
      </c>
      <c r="AU11" s="212"/>
      <c r="AV11" s="213"/>
      <c r="AW11" s="128"/>
      <c r="AX11" s="127"/>
      <c r="AY11" s="128"/>
      <c r="AZ11" s="127"/>
      <c r="BA11" s="127"/>
      <c r="BB11" s="127"/>
    </row>
    <row r="12" spans="1:54" ht="13.8" x14ac:dyDescent="0.3">
      <c r="A12" s="198" t="s">
        <v>29</v>
      </c>
      <c r="B12" s="198" t="s">
        <v>149</v>
      </c>
      <c r="C12" s="130" t="s">
        <v>153</v>
      </c>
      <c r="D12" s="127" t="s">
        <v>130</v>
      </c>
      <c r="E12" s="200" t="s">
        <v>131</v>
      </c>
      <c r="F12" s="208" t="s">
        <v>132</v>
      </c>
      <c r="G12" s="200" t="s">
        <v>133</v>
      </c>
      <c r="H12" s="200" t="s">
        <v>134</v>
      </c>
      <c r="I12" s="127" t="str">
        <f t="shared" si="0"/>
        <v>No of Racks</v>
      </c>
      <c r="J12" s="201">
        <v>18</v>
      </c>
      <c r="K12" s="201">
        <v>18</v>
      </c>
      <c r="L12" s="202">
        <f t="shared" si="1"/>
        <v>0</v>
      </c>
      <c r="M12" s="127">
        <f t="shared" si="2"/>
        <v>18</v>
      </c>
      <c r="N12" s="127">
        <f t="shared" si="3"/>
        <v>0</v>
      </c>
      <c r="O12" s="203">
        <f>3200004/12/18</f>
        <v>14814.833333333334</v>
      </c>
      <c r="P12" s="204" t="str">
        <f t="shared" si="4"/>
        <v>Subscribed</v>
      </c>
      <c r="Q12" s="200" t="s">
        <v>6</v>
      </c>
      <c r="R12" s="205">
        <v>88</v>
      </c>
      <c r="S12" s="196">
        <f t="shared" si="18"/>
        <v>68.001562500000006</v>
      </c>
      <c r="T12" s="195">
        <f t="shared" si="17"/>
        <v>19.998437499999994</v>
      </c>
      <c r="U12" s="196">
        <v>0</v>
      </c>
      <c r="V12" s="196">
        <f t="shared" si="5"/>
        <v>19.998437499999994</v>
      </c>
      <c r="W12" s="196">
        <f t="shared" si="6"/>
        <v>88</v>
      </c>
      <c r="X12" s="196">
        <f t="shared" si="7"/>
        <v>68.001562500000006</v>
      </c>
      <c r="Y12" s="196">
        <f t="shared" si="8"/>
        <v>68.001562500000006</v>
      </c>
      <c r="Z12" s="196">
        <f t="shared" si="9"/>
        <v>-19.998437499999994</v>
      </c>
      <c r="AA12" s="206"/>
      <c r="AB12" s="207" t="s">
        <v>132</v>
      </c>
      <c r="AC12" s="196">
        <v>1.8</v>
      </c>
      <c r="AD12" s="196"/>
      <c r="AE12" s="196"/>
      <c r="AF12" s="245">
        <v>45697.05</v>
      </c>
      <c r="AG12" s="209" t="s">
        <v>137</v>
      </c>
      <c r="AH12" s="127" t="s">
        <v>138</v>
      </c>
      <c r="AI12" s="196">
        <v>3</v>
      </c>
      <c r="AJ12" s="196">
        <v>3</v>
      </c>
      <c r="AK12" s="127">
        <f t="shared" si="10"/>
        <v>0</v>
      </c>
      <c r="AL12" s="196">
        <f t="shared" si="11"/>
        <v>3</v>
      </c>
      <c r="AM12" s="196">
        <v>0</v>
      </c>
      <c r="AN12" s="210"/>
      <c r="AO12" s="211">
        <f t="shared" si="12"/>
        <v>266667</v>
      </c>
      <c r="AP12" s="206"/>
      <c r="AQ12" s="206">
        <f t="shared" si="13"/>
        <v>0</v>
      </c>
      <c r="AR12" s="206">
        <f t="shared" si="14"/>
        <v>0</v>
      </c>
      <c r="AS12" s="203"/>
      <c r="AT12" s="212">
        <f t="shared" si="15"/>
        <v>266667</v>
      </c>
      <c r="AU12" s="212"/>
      <c r="AV12" s="213"/>
      <c r="AW12" s="128"/>
      <c r="AX12" s="127"/>
      <c r="AY12" s="128"/>
      <c r="AZ12" s="127"/>
      <c r="BA12" s="127"/>
      <c r="BB12" s="127"/>
    </row>
    <row r="13" spans="1:54" ht="13.8" x14ac:dyDescent="0.3">
      <c r="A13" s="198" t="s">
        <v>29</v>
      </c>
      <c r="B13" s="198" t="s">
        <v>149</v>
      </c>
      <c r="C13" s="130" t="s">
        <v>154</v>
      </c>
      <c r="D13" s="127" t="s">
        <v>144</v>
      </c>
      <c r="E13" s="200" t="s">
        <v>131</v>
      </c>
      <c r="F13" s="208" t="s">
        <v>132</v>
      </c>
      <c r="G13" s="200" t="s">
        <v>133</v>
      </c>
      <c r="H13" s="200" t="s">
        <v>145</v>
      </c>
      <c r="I13" s="127" t="str">
        <f t="shared" si="0"/>
        <v>No of Racks</v>
      </c>
      <c r="J13" s="201">
        <v>4</v>
      </c>
      <c r="K13" s="201">
        <v>4</v>
      </c>
      <c r="L13" s="202">
        <f t="shared" si="1"/>
        <v>0</v>
      </c>
      <c r="M13" s="127">
        <f t="shared" si="2"/>
        <v>4</v>
      </c>
      <c r="N13" s="127">
        <f t="shared" si="3"/>
        <v>0</v>
      </c>
      <c r="O13" s="220">
        <f>776000/12/2</f>
        <v>32333.333333333332</v>
      </c>
      <c r="P13" s="204" t="str">
        <f t="shared" si="4"/>
        <v>Subscribed</v>
      </c>
      <c r="Q13" s="200" t="s">
        <v>6</v>
      </c>
      <c r="R13" s="205">
        <v>19</v>
      </c>
      <c r="S13" s="196">
        <f t="shared" si="18"/>
        <v>13.320952380952381</v>
      </c>
      <c r="T13" s="195">
        <f t="shared" si="17"/>
        <v>5.6790476190476191</v>
      </c>
      <c r="U13" s="196">
        <v>0</v>
      </c>
      <c r="V13" s="196">
        <f t="shared" si="5"/>
        <v>5.6790476190476191</v>
      </c>
      <c r="W13" s="196">
        <f t="shared" si="6"/>
        <v>19</v>
      </c>
      <c r="X13" s="196">
        <f t="shared" si="7"/>
        <v>13.320952380952381</v>
      </c>
      <c r="Y13" s="196">
        <f t="shared" si="8"/>
        <v>13.320952380952381</v>
      </c>
      <c r="Z13" s="196">
        <f t="shared" si="9"/>
        <v>-5.6790476190476191</v>
      </c>
      <c r="AA13" s="206"/>
      <c r="AB13" s="207" t="s">
        <v>132</v>
      </c>
      <c r="AC13" s="127">
        <v>1.8</v>
      </c>
      <c r="AD13" s="196"/>
      <c r="AE13" s="196"/>
      <c r="AF13" s="245">
        <v>8951.68</v>
      </c>
      <c r="AG13" s="209" t="s">
        <v>137</v>
      </c>
      <c r="AH13" s="127" t="s">
        <v>138</v>
      </c>
      <c r="AI13" s="196">
        <v>0</v>
      </c>
      <c r="AJ13" s="196">
        <v>0</v>
      </c>
      <c r="AK13" s="127">
        <f t="shared" si="10"/>
        <v>0</v>
      </c>
      <c r="AL13" s="196">
        <f t="shared" si="11"/>
        <v>0</v>
      </c>
      <c r="AM13" s="196">
        <v>0</v>
      </c>
      <c r="AN13" s="210"/>
      <c r="AO13" s="211">
        <f t="shared" si="12"/>
        <v>129333.33333333333</v>
      </c>
      <c r="AP13" s="206"/>
      <c r="AQ13" s="206">
        <f t="shared" si="13"/>
        <v>0</v>
      </c>
      <c r="AR13" s="206">
        <f t="shared" si="14"/>
        <v>0</v>
      </c>
      <c r="AS13" s="203"/>
      <c r="AT13" s="212">
        <f t="shared" si="15"/>
        <v>129333.33333333333</v>
      </c>
      <c r="AU13" s="212"/>
      <c r="AV13" s="213"/>
      <c r="AW13" s="128"/>
      <c r="AX13" s="127"/>
      <c r="AY13" s="128"/>
      <c r="AZ13" s="127"/>
      <c r="BA13" s="127"/>
      <c r="BB13" s="127"/>
    </row>
    <row r="14" spans="1:54" ht="13.8" x14ac:dyDescent="0.3">
      <c r="A14" s="198" t="s">
        <v>29</v>
      </c>
      <c r="B14" s="198" t="s">
        <v>149</v>
      </c>
      <c r="C14" s="130" t="s">
        <v>155</v>
      </c>
      <c r="D14" s="127" t="s">
        <v>144</v>
      </c>
      <c r="E14" s="200" t="s">
        <v>131</v>
      </c>
      <c r="F14" s="208" t="s">
        <v>132</v>
      </c>
      <c r="G14" s="200" t="s">
        <v>133</v>
      </c>
      <c r="H14" s="200" t="s">
        <v>134</v>
      </c>
      <c r="I14" s="127" t="str">
        <f t="shared" si="0"/>
        <v>No of Racks</v>
      </c>
      <c r="J14" s="201">
        <v>10</v>
      </c>
      <c r="K14" s="201">
        <v>10</v>
      </c>
      <c r="L14" s="202">
        <f t="shared" si="1"/>
        <v>0</v>
      </c>
      <c r="M14" s="127">
        <f t="shared" si="2"/>
        <v>10</v>
      </c>
      <c r="N14" s="127">
        <f t="shared" si="3"/>
        <v>0</v>
      </c>
      <c r="O14" s="203">
        <f>4484415/12/10</f>
        <v>37370.125</v>
      </c>
      <c r="P14" s="204" t="str">
        <f t="shared" si="4"/>
        <v>Subscribed</v>
      </c>
      <c r="Q14" s="200" t="s">
        <v>6</v>
      </c>
      <c r="R14" s="205">
        <v>30</v>
      </c>
      <c r="S14" s="196">
        <f t="shared" si="18"/>
        <v>13.092113095238094</v>
      </c>
      <c r="T14" s="195">
        <f t="shared" si="17"/>
        <v>16.907886904761906</v>
      </c>
      <c r="U14" s="196">
        <v>0</v>
      </c>
      <c r="V14" s="196">
        <f t="shared" si="5"/>
        <v>16.907886904761906</v>
      </c>
      <c r="W14" s="196">
        <f t="shared" si="6"/>
        <v>30</v>
      </c>
      <c r="X14" s="196">
        <f t="shared" si="7"/>
        <v>13.092113095238094</v>
      </c>
      <c r="Y14" s="196">
        <f t="shared" si="8"/>
        <v>13.092113095238094</v>
      </c>
      <c r="Z14" s="196">
        <f t="shared" si="9"/>
        <v>-16.907886904761906</v>
      </c>
      <c r="AA14" s="206"/>
      <c r="AB14" s="207" t="s">
        <v>132</v>
      </c>
      <c r="AC14" s="127">
        <v>1.8</v>
      </c>
      <c r="AD14" s="196"/>
      <c r="AE14" s="196"/>
      <c r="AF14" s="245">
        <v>8797.9</v>
      </c>
      <c r="AG14" s="209" t="s">
        <v>137</v>
      </c>
      <c r="AH14" s="127" t="s">
        <v>138</v>
      </c>
      <c r="AI14" s="196">
        <v>1</v>
      </c>
      <c r="AJ14" s="196">
        <v>1</v>
      </c>
      <c r="AK14" s="127">
        <f t="shared" si="10"/>
        <v>0</v>
      </c>
      <c r="AL14" s="196">
        <f t="shared" si="11"/>
        <v>1</v>
      </c>
      <c r="AM14" s="196">
        <v>0</v>
      </c>
      <c r="AN14" s="210"/>
      <c r="AO14" s="211">
        <f t="shared" si="12"/>
        <v>373701.25</v>
      </c>
      <c r="AP14" s="206"/>
      <c r="AQ14" s="206">
        <f t="shared" si="13"/>
        <v>0</v>
      </c>
      <c r="AR14" s="206">
        <f t="shared" si="14"/>
        <v>0</v>
      </c>
      <c r="AS14" s="203"/>
      <c r="AT14" s="212">
        <f t="shared" si="15"/>
        <v>373701.25</v>
      </c>
      <c r="AU14" s="212"/>
      <c r="AV14" s="213"/>
      <c r="AW14" s="128"/>
      <c r="AX14" s="127"/>
      <c r="AY14" s="128"/>
      <c r="AZ14" s="127"/>
      <c r="BA14" s="127"/>
      <c r="BB14" s="127"/>
    </row>
    <row r="15" spans="1:54" ht="12" x14ac:dyDescent="0.3">
      <c r="A15" s="198" t="s">
        <v>29</v>
      </c>
      <c r="B15" s="198" t="s">
        <v>149</v>
      </c>
      <c r="C15" s="131" t="s">
        <v>156</v>
      </c>
      <c r="D15" s="127" t="s">
        <v>144</v>
      </c>
      <c r="E15" s="200" t="s">
        <v>147</v>
      </c>
      <c r="F15" s="208" t="s">
        <v>148</v>
      </c>
      <c r="G15" s="200" t="s">
        <v>133</v>
      </c>
      <c r="H15" s="200" t="s">
        <v>145</v>
      </c>
      <c r="I15" s="127" t="str">
        <f t="shared" si="0"/>
        <v>No of Racks</v>
      </c>
      <c r="J15" s="201">
        <v>10</v>
      </c>
      <c r="K15" s="201">
        <v>10</v>
      </c>
      <c r="L15" s="202">
        <f t="shared" si="1"/>
        <v>0</v>
      </c>
      <c r="M15" s="127">
        <f t="shared" si="2"/>
        <v>10</v>
      </c>
      <c r="N15" s="127">
        <f t="shared" si="3"/>
        <v>0</v>
      </c>
      <c r="O15" s="203">
        <f>(3280006+90000)/12/6</f>
        <v>46805.638888888883</v>
      </c>
      <c r="P15" s="204" t="str">
        <f t="shared" si="4"/>
        <v>Rated</v>
      </c>
      <c r="Q15" s="200" t="s">
        <v>6</v>
      </c>
      <c r="R15" s="205">
        <v>83</v>
      </c>
      <c r="S15" s="196">
        <v>72.47</v>
      </c>
      <c r="T15" s="195">
        <f t="shared" si="17"/>
        <v>10.530000000000001</v>
      </c>
      <c r="U15" s="196">
        <v>0</v>
      </c>
      <c r="V15" s="196">
        <f t="shared" si="5"/>
        <v>5.2650000000000006</v>
      </c>
      <c r="W15" s="196">
        <f t="shared" si="6"/>
        <v>41.5</v>
      </c>
      <c r="X15" s="196">
        <f t="shared" si="7"/>
        <v>72.47</v>
      </c>
      <c r="Y15" s="196">
        <f t="shared" si="8"/>
        <v>72.47</v>
      </c>
      <c r="Z15" s="196">
        <f t="shared" si="9"/>
        <v>-10.530000000000001</v>
      </c>
      <c r="AA15" s="206">
        <f>90000/12</f>
        <v>7500</v>
      </c>
      <c r="AB15" s="207" t="s">
        <v>147</v>
      </c>
      <c r="AC15" s="196">
        <v>1.8</v>
      </c>
      <c r="AD15" s="196"/>
      <c r="AE15" s="196"/>
      <c r="AF15" s="196"/>
      <c r="AG15" s="209" t="s">
        <v>137</v>
      </c>
      <c r="AH15" s="127" t="s">
        <v>138</v>
      </c>
      <c r="AI15" s="196">
        <v>0</v>
      </c>
      <c r="AJ15" s="196">
        <v>0</v>
      </c>
      <c r="AK15" s="127">
        <f t="shared" si="10"/>
        <v>0</v>
      </c>
      <c r="AL15" s="196">
        <f t="shared" si="11"/>
        <v>0</v>
      </c>
      <c r="AM15" s="196">
        <v>0</v>
      </c>
      <c r="AN15" s="210"/>
      <c r="AO15" s="211">
        <f t="shared" si="12"/>
        <v>468056.38888888882</v>
      </c>
      <c r="AP15" s="206"/>
      <c r="AQ15" s="206">
        <f t="shared" si="13"/>
        <v>0</v>
      </c>
      <c r="AR15" s="206">
        <f t="shared" si="14"/>
        <v>0</v>
      </c>
      <c r="AS15" s="203"/>
      <c r="AT15" s="212">
        <f t="shared" si="15"/>
        <v>468056.38888888882</v>
      </c>
      <c r="AU15" s="212"/>
      <c r="AV15" s="213"/>
      <c r="AW15" s="128"/>
      <c r="AX15" s="127"/>
      <c r="AY15" s="128"/>
      <c r="AZ15" s="127"/>
      <c r="BA15" s="127"/>
      <c r="BB15" s="127"/>
    </row>
    <row r="16" spans="1:54" ht="12" x14ac:dyDescent="0.25">
      <c r="A16" s="198" t="s">
        <v>29</v>
      </c>
      <c r="B16" s="198" t="s">
        <v>149</v>
      </c>
      <c r="C16" s="133" t="s">
        <v>157</v>
      </c>
      <c r="D16" s="127" t="s">
        <v>130</v>
      </c>
      <c r="E16" s="200" t="s">
        <v>147</v>
      </c>
      <c r="F16" s="208" t="s">
        <v>148</v>
      </c>
      <c r="G16" s="200" t="s">
        <v>133</v>
      </c>
      <c r="H16" s="200" t="s">
        <v>134</v>
      </c>
      <c r="I16" s="127" t="str">
        <f t="shared" si="0"/>
        <v>No of Racks</v>
      </c>
      <c r="J16" s="201">
        <v>6</v>
      </c>
      <c r="K16" s="201">
        <v>6</v>
      </c>
      <c r="L16" s="202">
        <f t="shared" si="1"/>
        <v>0</v>
      </c>
      <c r="M16" s="127">
        <f t="shared" si="2"/>
        <v>6</v>
      </c>
      <c r="N16" s="127">
        <f t="shared" si="3"/>
        <v>0</v>
      </c>
      <c r="O16" s="221">
        <f>4113270/12/6</f>
        <v>57128.75</v>
      </c>
      <c r="P16" s="204" t="str">
        <f t="shared" si="4"/>
        <v>Rated</v>
      </c>
      <c r="Q16" s="200" t="s">
        <v>6</v>
      </c>
      <c r="R16" s="205">
        <v>36</v>
      </c>
      <c r="S16" s="196">
        <v>23.46</v>
      </c>
      <c r="T16" s="195">
        <f t="shared" si="17"/>
        <v>12.54</v>
      </c>
      <c r="U16" s="196">
        <v>0</v>
      </c>
      <c r="V16" s="196">
        <f t="shared" si="5"/>
        <v>6.27</v>
      </c>
      <c r="W16" s="196">
        <f t="shared" si="6"/>
        <v>18</v>
      </c>
      <c r="X16" s="196">
        <f t="shared" si="7"/>
        <v>23.46</v>
      </c>
      <c r="Y16" s="196">
        <f t="shared" si="8"/>
        <v>23.46</v>
      </c>
      <c r="Z16" s="196">
        <f t="shared" si="9"/>
        <v>-12.54</v>
      </c>
      <c r="AA16" s="206"/>
      <c r="AB16" s="217" t="s">
        <v>147</v>
      </c>
      <c r="AC16" s="196">
        <v>1.8</v>
      </c>
      <c r="AD16" s="196"/>
      <c r="AE16" s="196"/>
      <c r="AF16" s="196"/>
      <c r="AG16" s="209" t="s">
        <v>137</v>
      </c>
      <c r="AH16" s="127" t="s">
        <v>138</v>
      </c>
      <c r="AI16" s="196">
        <v>1</v>
      </c>
      <c r="AJ16" s="196">
        <v>1</v>
      </c>
      <c r="AK16" s="127">
        <f t="shared" si="10"/>
        <v>0</v>
      </c>
      <c r="AL16" s="196">
        <f t="shared" si="11"/>
        <v>1</v>
      </c>
      <c r="AM16" s="196">
        <v>0</v>
      </c>
      <c r="AN16" s="210"/>
      <c r="AO16" s="211">
        <f t="shared" si="12"/>
        <v>342772.5</v>
      </c>
      <c r="AP16" s="206"/>
      <c r="AQ16" s="206">
        <f t="shared" si="13"/>
        <v>0</v>
      </c>
      <c r="AR16" s="206">
        <f t="shared" si="14"/>
        <v>0</v>
      </c>
      <c r="AS16" s="203"/>
      <c r="AT16" s="212">
        <f t="shared" si="15"/>
        <v>342772.5</v>
      </c>
      <c r="AU16" s="212"/>
      <c r="AV16" s="222"/>
      <c r="AW16" s="128"/>
      <c r="AX16" s="127"/>
      <c r="AY16" s="128"/>
      <c r="AZ16" s="127"/>
      <c r="BA16" s="127"/>
      <c r="BB16" s="127"/>
    </row>
    <row r="17" spans="1:54" ht="12" x14ac:dyDescent="0.25">
      <c r="A17" s="198" t="s">
        <v>29</v>
      </c>
      <c r="B17" s="198" t="s">
        <v>149</v>
      </c>
      <c r="C17" s="133" t="s">
        <v>158</v>
      </c>
      <c r="D17" s="127" t="s">
        <v>144</v>
      </c>
      <c r="E17" s="200" t="s">
        <v>147</v>
      </c>
      <c r="F17" s="208" t="s">
        <v>148</v>
      </c>
      <c r="G17" s="200" t="s">
        <v>133</v>
      </c>
      <c r="H17" s="200" t="s">
        <v>134</v>
      </c>
      <c r="I17" s="127" t="str">
        <f t="shared" si="0"/>
        <v>No of Racks</v>
      </c>
      <c r="J17" s="201">
        <v>7</v>
      </c>
      <c r="K17" s="201">
        <v>7</v>
      </c>
      <c r="L17" s="202">
        <f t="shared" si="1"/>
        <v>0</v>
      </c>
      <c r="M17" s="127">
        <f t="shared" si="2"/>
        <v>7</v>
      </c>
      <c r="N17" s="127">
        <f t="shared" si="3"/>
        <v>0</v>
      </c>
      <c r="O17" s="203">
        <f>4620000/7/12</f>
        <v>55000</v>
      </c>
      <c r="P17" s="204" t="str">
        <f t="shared" si="4"/>
        <v>Rated</v>
      </c>
      <c r="Q17" s="200" t="s">
        <v>6</v>
      </c>
      <c r="R17" s="205">
        <v>45</v>
      </c>
      <c r="S17" s="196">
        <v>23.18</v>
      </c>
      <c r="T17" s="195">
        <f t="shared" si="17"/>
        <v>21.82</v>
      </c>
      <c r="U17" s="196">
        <v>0</v>
      </c>
      <c r="V17" s="196">
        <f t="shared" si="5"/>
        <v>10.91</v>
      </c>
      <c r="W17" s="196">
        <f t="shared" si="6"/>
        <v>22.5</v>
      </c>
      <c r="X17" s="196">
        <f t="shared" si="7"/>
        <v>23.18</v>
      </c>
      <c r="Y17" s="196">
        <f t="shared" si="8"/>
        <v>23.18</v>
      </c>
      <c r="Z17" s="196">
        <f t="shared" si="9"/>
        <v>-21.82</v>
      </c>
      <c r="AA17" s="220">
        <f>90000/12</f>
        <v>7500</v>
      </c>
      <c r="AB17" s="217" t="s">
        <v>147</v>
      </c>
      <c r="AC17" s="196">
        <v>1.8</v>
      </c>
      <c r="AD17" s="196"/>
      <c r="AE17" s="196"/>
      <c r="AF17" s="196"/>
      <c r="AG17" s="209" t="s">
        <v>137</v>
      </c>
      <c r="AH17" s="127" t="s">
        <v>138</v>
      </c>
      <c r="AI17" s="196">
        <v>0</v>
      </c>
      <c r="AJ17" s="196">
        <v>0</v>
      </c>
      <c r="AK17" s="127">
        <f t="shared" si="10"/>
        <v>0</v>
      </c>
      <c r="AL17" s="196">
        <f t="shared" si="11"/>
        <v>0</v>
      </c>
      <c r="AM17" s="196">
        <v>0</v>
      </c>
      <c r="AN17" s="210"/>
      <c r="AO17" s="211">
        <f t="shared" si="12"/>
        <v>385000</v>
      </c>
      <c r="AP17" s="206"/>
      <c r="AQ17" s="206">
        <f t="shared" si="13"/>
        <v>0</v>
      </c>
      <c r="AR17" s="206">
        <f t="shared" si="14"/>
        <v>0</v>
      </c>
      <c r="AS17" s="203"/>
      <c r="AT17" s="212">
        <f t="shared" si="15"/>
        <v>385000</v>
      </c>
      <c r="AU17" s="212"/>
      <c r="AV17" s="213"/>
      <c r="AW17" s="128"/>
      <c r="AX17" s="127"/>
      <c r="AY17" s="128"/>
      <c r="AZ17" s="127"/>
      <c r="BA17" s="127"/>
      <c r="BB17" s="127"/>
    </row>
    <row r="18" spans="1:54" ht="13.8" x14ac:dyDescent="0.3">
      <c r="A18" s="198" t="s">
        <v>29</v>
      </c>
      <c r="B18" s="198" t="s">
        <v>149</v>
      </c>
      <c r="C18" s="127" t="s">
        <v>159</v>
      </c>
      <c r="D18" s="127" t="s">
        <v>130</v>
      </c>
      <c r="E18" s="200" t="s">
        <v>131</v>
      </c>
      <c r="F18" s="208" t="s">
        <v>132</v>
      </c>
      <c r="G18" s="200" t="s">
        <v>133</v>
      </c>
      <c r="H18" s="200" t="s">
        <v>134</v>
      </c>
      <c r="I18" s="127" t="str">
        <f t="shared" si="0"/>
        <v>No of Racks</v>
      </c>
      <c r="J18" s="223">
        <v>13</v>
      </c>
      <c r="K18" s="223">
        <v>13</v>
      </c>
      <c r="L18" s="202">
        <f t="shared" si="1"/>
        <v>0</v>
      </c>
      <c r="M18" s="127">
        <f t="shared" si="2"/>
        <v>13</v>
      </c>
      <c r="N18" s="127">
        <f t="shared" si="3"/>
        <v>0</v>
      </c>
      <c r="O18" s="203">
        <f>598991/12</f>
        <v>49915.916666666664</v>
      </c>
      <c r="P18" s="204" t="str">
        <f t="shared" si="4"/>
        <v>Subscribed</v>
      </c>
      <c r="Q18" s="200" t="s">
        <v>160</v>
      </c>
      <c r="R18" s="224">
        <v>42</v>
      </c>
      <c r="S18" s="196">
        <f t="shared" ref="S18:S21" si="19">AF18/672</f>
        <v>23.768154761904764</v>
      </c>
      <c r="T18" s="195">
        <f t="shared" si="17"/>
        <v>18.231845238095236</v>
      </c>
      <c r="U18" s="196">
        <v>0</v>
      </c>
      <c r="V18" s="196">
        <f t="shared" si="5"/>
        <v>18.231845238095236</v>
      </c>
      <c r="W18" s="196">
        <f t="shared" si="6"/>
        <v>42</v>
      </c>
      <c r="X18" s="196">
        <f t="shared" si="7"/>
        <v>23.768154761904764</v>
      </c>
      <c r="Y18" s="196">
        <f t="shared" si="8"/>
        <v>23.768154761904764</v>
      </c>
      <c r="Z18" s="196">
        <f t="shared" si="9"/>
        <v>-18.231845238095236</v>
      </c>
      <c r="AA18" s="206"/>
      <c r="AB18" s="207" t="s">
        <v>132</v>
      </c>
      <c r="AC18" s="196">
        <v>1.8</v>
      </c>
      <c r="AD18" s="196"/>
      <c r="AE18" s="196"/>
      <c r="AF18" s="245">
        <v>15972.2</v>
      </c>
      <c r="AG18" s="209" t="s">
        <v>137</v>
      </c>
      <c r="AH18" s="127" t="s">
        <v>138</v>
      </c>
      <c r="AI18" s="196">
        <v>5</v>
      </c>
      <c r="AJ18" s="196">
        <v>5</v>
      </c>
      <c r="AK18" s="127">
        <f t="shared" si="10"/>
        <v>0</v>
      </c>
      <c r="AL18" s="196">
        <f t="shared" si="11"/>
        <v>5</v>
      </c>
      <c r="AM18" s="196">
        <v>0</v>
      </c>
      <c r="AN18" s="210"/>
      <c r="AO18" s="211">
        <f t="shared" si="12"/>
        <v>648906.91666666663</v>
      </c>
      <c r="AP18" s="206"/>
      <c r="AQ18" s="206">
        <f t="shared" si="13"/>
        <v>0</v>
      </c>
      <c r="AR18" s="206">
        <f t="shared" si="14"/>
        <v>0</v>
      </c>
      <c r="AS18" s="203"/>
      <c r="AT18" s="212">
        <f t="shared" si="15"/>
        <v>648906.91666666663</v>
      </c>
      <c r="AU18" s="212"/>
      <c r="AV18" s="213"/>
      <c r="AW18" s="128"/>
      <c r="AX18" s="127"/>
      <c r="AY18" s="128"/>
      <c r="AZ18" s="127"/>
      <c r="BA18" s="127"/>
      <c r="BB18" s="127"/>
    </row>
    <row r="19" spans="1:54" ht="13.8" x14ac:dyDescent="0.3">
      <c r="A19" s="198" t="s">
        <v>29</v>
      </c>
      <c r="B19" s="198" t="s">
        <v>149</v>
      </c>
      <c r="C19" s="130" t="s">
        <v>161</v>
      </c>
      <c r="D19" s="127" t="s">
        <v>144</v>
      </c>
      <c r="E19" s="200" t="s">
        <v>131</v>
      </c>
      <c r="F19" s="208" t="s">
        <v>132</v>
      </c>
      <c r="G19" s="200" t="s">
        <v>133</v>
      </c>
      <c r="H19" s="200" t="s">
        <v>145</v>
      </c>
      <c r="I19" s="127" t="str">
        <f t="shared" si="0"/>
        <v>No of Racks</v>
      </c>
      <c r="J19" s="223">
        <v>1</v>
      </c>
      <c r="K19" s="223">
        <v>1</v>
      </c>
      <c r="L19" s="202">
        <f t="shared" si="1"/>
        <v>0</v>
      </c>
      <c r="M19" s="127">
        <f t="shared" si="2"/>
        <v>1</v>
      </c>
      <c r="N19" s="127">
        <f t="shared" si="3"/>
        <v>0</v>
      </c>
      <c r="O19" s="203">
        <f>210000/12</f>
        <v>17500</v>
      </c>
      <c r="P19" s="204" t="str">
        <f t="shared" si="4"/>
        <v>Subscribed</v>
      </c>
      <c r="Q19" s="200" t="s">
        <v>160</v>
      </c>
      <c r="R19" s="224">
        <v>2.5</v>
      </c>
      <c r="S19" s="196">
        <f t="shared" si="19"/>
        <v>0.84166666666666667</v>
      </c>
      <c r="T19" s="195">
        <f t="shared" si="17"/>
        <v>1.6583333333333332</v>
      </c>
      <c r="U19" s="196">
        <v>0</v>
      </c>
      <c r="V19" s="196">
        <f t="shared" si="5"/>
        <v>1.6583333333333332</v>
      </c>
      <c r="W19" s="196">
        <f t="shared" si="6"/>
        <v>2.5</v>
      </c>
      <c r="X19" s="196">
        <f t="shared" si="7"/>
        <v>0.84166666666666667</v>
      </c>
      <c r="Y19" s="196">
        <f t="shared" si="8"/>
        <v>0.84166666666666667</v>
      </c>
      <c r="Z19" s="196">
        <f t="shared" si="9"/>
        <v>-1.6583333333333332</v>
      </c>
      <c r="AA19" s="206"/>
      <c r="AB19" s="217" t="s">
        <v>132</v>
      </c>
      <c r="AC19" s="196">
        <v>1.8</v>
      </c>
      <c r="AD19" s="196"/>
      <c r="AE19" s="196"/>
      <c r="AF19" s="245">
        <v>565.6</v>
      </c>
      <c r="AG19" s="209" t="s">
        <v>137</v>
      </c>
      <c r="AH19" s="127" t="s">
        <v>138</v>
      </c>
      <c r="AI19" s="196">
        <v>0</v>
      </c>
      <c r="AJ19" s="196">
        <v>0</v>
      </c>
      <c r="AK19" s="127">
        <f t="shared" si="10"/>
        <v>0</v>
      </c>
      <c r="AL19" s="196">
        <f t="shared" si="11"/>
        <v>0</v>
      </c>
      <c r="AM19" s="196">
        <v>0</v>
      </c>
      <c r="AN19" s="210"/>
      <c r="AO19" s="211">
        <f t="shared" si="12"/>
        <v>17500</v>
      </c>
      <c r="AP19" s="206"/>
      <c r="AQ19" s="206">
        <f t="shared" si="13"/>
        <v>0</v>
      </c>
      <c r="AR19" s="206">
        <f t="shared" si="14"/>
        <v>0</v>
      </c>
      <c r="AS19" s="203"/>
      <c r="AT19" s="212">
        <f t="shared" si="15"/>
        <v>17500</v>
      </c>
      <c r="AU19" s="212"/>
      <c r="AV19" s="213"/>
      <c r="AW19" s="128"/>
      <c r="AX19" s="127"/>
      <c r="AY19" s="128"/>
      <c r="AZ19" s="127"/>
      <c r="BA19" s="127"/>
      <c r="BB19" s="127"/>
    </row>
    <row r="20" spans="1:54" ht="13.8" x14ac:dyDescent="0.3">
      <c r="A20" s="198" t="s">
        <v>29</v>
      </c>
      <c r="B20" s="198" t="s">
        <v>162</v>
      </c>
      <c r="C20" s="132" t="s">
        <v>163</v>
      </c>
      <c r="D20" s="127" t="s">
        <v>144</v>
      </c>
      <c r="E20" s="200" t="s">
        <v>131</v>
      </c>
      <c r="F20" s="208" t="s">
        <v>132</v>
      </c>
      <c r="G20" s="200" t="s">
        <v>133</v>
      </c>
      <c r="H20" s="200" t="s">
        <v>145</v>
      </c>
      <c r="I20" s="127" t="str">
        <f t="shared" si="0"/>
        <v>No of Racks</v>
      </c>
      <c r="J20" s="223">
        <v>8</v>
      </c>
      <c r="K20" s="223">
        <v>8</v>
      </c>
      <c r="L20" s="202">
        <f t="shared" si="1"/>
        <v>0</v>
      </c>
      <c r="M20" s="127">
        <f t="shared" si="2"/>
        <v>8</v>
      </c>
      <c r="N20" s="127">
        <f t="shared" si="3"/>
        <v>0</v>
      </c>
      <c r="O20" s="225">
        <f>850000/12/4</f>
        <v>17708.333333333332</v>
      </c>
      <c r="P20" s="204" t="str">
        <f t="shared" si="4"/>
        <v>Subscribed</v>
      </c>
      <c r="Q20" s="200" t="s">
        <v>160</v>
      </c>
      <c r="R20" s="224">
        <v>32.5</v>
      </c>
      <c r="S20" s="196">
        <f t="shared" si="19"/>
        <v>27.698199404761901</v>
      </c>
      <c r="T20" s="195">
        <f t="shared" si="17"/>
        <v>4.8018005952380989</v>
      </c>
      <c r="U20" s="196">
        <v>0</v>
      </c>
      <c r="V20" s="196">
        <f t="shared" si="5"/>
        <v>4.8018005952380989</v>
      </c>
      <c r="W20" s="196">
        <f t="shared" si="6"/>
        <v>32.5</v>
      </c>
      <c r="X20" s="196">
        <f t="shared" si="7"/>
        <v>27.698199404761901</v>
      </c>
      <c r="Y20" s="196">
        <f t="shared" si="8"/>
        <v>27.698199404761901</v>
      </c>
      <c r="Z20" s="196">
        <f t="shared" si="9"/>
        <v>-4.8018005952380989</v>
      </c>
      <c r="AA20" s="206"/>
      <c r="AB20" s="217" t="s">
        <v>132</v>
      </c>
      <c r="AC20" s="196">
        <v>1.8</v>
      </c>
      <c r="AD20" s="196"/>
      <c r="AE20" s="196"/>
      <c r="AF20" s="245">
        <v>18613.189999999999</v>
      </c>
      <c r="AG20" s="209" t="s">
        <v>137</v>
      </c>
      <c r="AH20" s="127" t="s">
        <v>138</v>
      </c>
      <c r="AI20" s="196">
        <v>0</v>
      </c>
      <c r="AJ20" s="196">
        <v>0</v>
      </c>
      <c r="AK20" s="127">
        <f t="shared" si="10"/>
        <v>0</v>
      </c>
      <c r="AL20" s="196">
        <f t="shared" si="11"/>
        <v>0</v>
      </c>
      <c r="AM20" s="196">
        <v>0</v>
      </c>
      <c r="AN20" s="210"/>
      <c r="AO20" s="211">
        <f t="shared" si="12"/>
        <v>141666.66666666666</v>
      </c>
      <c r="AP20" s="206"/>
      <c r="AQ20" s="206">
        <f t="shared" si="13"/>
        <v>0</v>
      </c>
      <c r="AR20" s="206">
        <f t="shared" si="14"/>
        <v>0</v>
      </c>
      <c r="AS20" s="203"/>
      <c r="AT20" s="212">
        <f t="shared" si="15"/>
        <v>141666.66666666666</v>
      </c>
      <c r="AU20" s="212"/>
      <c r="AV20" s="213"/>
      <c r="AW20" s="128"/>
      <c r="AX20" s="127"/>
      <c r="AY20" s="128"/>
      <c r="AZ20" s="127"/>
      <c r="BA20" s="127"/>
      <c r="BB20" s="127"/>
    </row>
    <row r="21" spans="1:54" ht="13.8" x14ac:dyDescent="0.3">
      <c r="A21" s="198" t="s">
        <v>29</v>
      </c>
      <c r="B21" s="198" t="s">
        <v>162</v>
      </c>
      <c r="C21" s="226" t="s">
        <v>164</v>
      </c>
      <c r="D21" s="127" t="s">
        <v>144</v>
      </c>
      <c r="E21" s="200" t="s">
        <v>131</v>
      </c>
      <c r="F21" s="208" t="s">
        <v>132</v>
      </c>
      <c r="G21" s="200" t="s">
        <v>133</v>
      </c>
      <c r="H21" s="200" t="s">
        <v>145</v>
      </c>
      <c r="I21" s="127" t="str">
        <f t="shared" si="0"/>
        <v>No of Racks</v>
      </c>
      <c r="J21" s="223">
        <v>1</v>
      </c>
      <c r="K21" s="223">
        <v>1</v>
      </c>
      <c r="L21" s="202">
        <f t="shared" si="1"/>
        <v>0</v>
      </c>
      <c r="M21" s="127">
        <f t="shared" si="2"/>
        <v>1</v>
      </c>
      <c r="N21" s="127">
        <f t="shared" si="3"/>
        <v>0</v>
      </c>
      <c r="O21" s="203"/>
      <c r="P21" s="204" t="str">
        <f t="shared" si="4"/>
        <v>Subscribed</v>
      </c>
      <c r="Q21" s="200" t="s">
        <v>6</v>
      </c>
      <c r="R21" s="224">
        <v>3</v>
      </c>
      <c r="S21" s="196">
        <f t="shared" si="19"/>
        <v>2.206532738095238</v>
      </c>
      <c r="T21" s="195">
        <f t="shared" si="17"/>
        <v>0.79346726190476202</v>
      </c>
      <c r="U21" s="196">
        <v>0</v>
      </c>
      <c r="V21" s="196">
        <f t="shared" si="5"/>
        <v>0.79346726190476202</v>
      </c>
      <c r="W21" s="196">
        <f t="shared" si="6"/>
        <v>3</v>
      </c>
      <c r="X21" s="196">
        <f t="shared" si="7"/>
        <v>2.206532738095238</v>
      </c>
      <c r="Y21" s="196">
        <f t="shared" si="8"/>
        <v>2.206532738095238</v>
      </c>
      <c r="Z21" s="196">
        <f t="shared" si="9"/>
        <v>-0.79346726190476202</v>
      </c>
      <c r="AA21" s="206"/>
      <c r="AB21" s="207" t="s">
        <v>132</v>
      </c>
      <c r="AC21" s="196">
        <v>1.8</v>
      </c>
      <c r="AD21" s="196"/>
      <c r="AE21" s="196"/>
      <c r="AF21" s="245">
        <v>1482.79</v>
      </c>
      <c r="AG21" s="209" t="s">
        <v>137</v>
      </c>
      <c r="AH21" s="127" t="s">
        <v>138</v>
      </c>
      <c r="AI21" s="196">
        <v>0</v>
      </c>
      <c r="AJ21" s="196">
        <v>0</v>
      </c>
      <c r="AK21" s="127">
        <f t="shared" si="10"/>
        <v>0</v>
      </c>
      <c r="AL21" s="196">
        <f t="shared" si="11"/>
        <v>0</v>
      </c>
      <c r="AM21" s="196">
        <v>0</v>
      </c>
      <c r="AN21" s="210"/>
      <c r="AO21" s="211">
        <f t="shared" si="12"/>
        <v>0</v>
      </c>
      <c r="AP21" s="206"/>
      <c r="AQ21" s="206">
        <f t="shared" si="13"/>
        <v>0</v>
      </c>
      <c r="AR21" s="206">
        <f t="shared" si="14"/>
        <v>0</v>
      </c>
      <c r="AS21" s="203"/>
      <c r="AT21" s="212">
        <f t="shared" si="15"/>
        <v>0</v>
      </c>
      <c r="AU21" s="212"/>
      <c r="AV21" s="213"/>
      <c r="AW21" s="128"/>
      <c r="AX21" s="127"/>
      <c r="AY21" s="128"/>
      <c r="AZ21" s="127"/>
      <c r="BA21" s="127"/>
      <c r="BB21" s="127"/>
    </row>
    <row r="22" spans="1:54" ht="12" x14ac:dyDescent="0.25">
      <c r="A22" s="198" t="s">
        <v>29</v>
      </c>
      <c r="B22" s="198" t="s">
        <v>162</v>
      </c>
      <c r="C22" s="133" t="s">
        <v>165</v>
      </c>
      <c r="D22" s="127" t="s">
        <v>144</v>
      </c>
      <c r="E22" s="200" t="s">
        <v>147</v>
      </c>
      <c r="F22" s="208" t="s">
        <v>148</v>
      </c>
      <c r="G22" s="200" t="s">
        <v>166</v>
      </c>
      <c r="H22" s="200" t="s">
        <v>145</v>
      </c>
      <c r="I22" s="127" t="str">
        <f t="shared" si="0"/>
        <v>U Space</v>
      </c>
      <c r="J22" s="201">
        <v>21</v>
      </c>
      <c r="K22" s="201">
        <v>21</v>
      </c>
      <c r="L22" s="202">
        <f t="shared" si="1"/>
        <v>0</v>
      </c>
      <c r="M22" s="127">
        <f t="shared" si="2"/>
        <v>21</v>
      </c>
      <c r="N22" s="127">
        <f t="shared" si="3"/>
        <v>0</v>
      </c>
      <c r="O22" s="203"/>
      <c r="P22" s="204" t="str">
        <f t="shared" si="4"/>
        <v>Rated</v>
      </c>
      <c r="Q22" s="200" t="s">
        <v>160</v>
      </c>
      <c r="R22" s="205">
        <v>4</v>
      </c>
      <c r="S22" s="196">
        <v>4.29</v>
      </c>
      <c r="T22" s="195">
        <f t="shared" si="17"/>
        <v>-0.29000000000000004</v>
      </c>
      <c r="U22" s="196">
        <v>0</v>
      </c>
      <c r="V22" s="196">
        <f t="shared" si="5"/>
        <v>0</v>
      </c>
      <c r="W22" s="196">
        <f t="shared" si="6"/>
        <v>2</v>
      </c>
      <c r="X22" s="196">
        <f t="shared" si="7"/>
        <v>4.29</v>
      </c>
      <c r="Y22" s="196">
        <f t="shared" si="8"/>
        <v>4.29</v>
      </c>
      <c r="Z22" s="196">
        <f t="shared" si="9"/>
        <v>0.29000000000000004</v>
      </c>
      <c r="AA22" s="206"/>
      <c r="AB22" s="207" t="s">
        <v>147</v>
      </c>
      <c r="AC22" s="196">
        <v>1.8</v>
      </c>
      <c r="AD22" s="196"/>
      <c r="AE22" s="196"/>
      <c r="AF22" s="196"/>
      <c r="AG22" s="209" t="s">
        <v>137</v>
      </c>
      <c r="AH22" s="127" t="s">
        <v>138</v>
      </c>
      <c r="AI22" s="218">
        <v>0</v>
      </c>
      <c r="AJ22" s="218">
        <v>0</v>
      </c>
      <c r="AK22" s="127">
        <f t="shared" si="10"/>
        <v>0</v>
      </c>
      <c r="AL22" s="218">
        <f t="shared" si="11"/>
        <v>0</v>
      </c>
      <c r="AM22" s="196">
        <v>0</v>
      </c>
      <c r="AN22" s="210"/>
      <c r="AO22" s="211">
        <f t="shared" si="12"/>
        <v>0</v>
      </c>
      <c r="AP22" s="206"/>
      <c r="AQ22" s="206">
        <f t="shared" si="13"/>
        <v>0</v>
      </c>
      <c r="AR22" s="206">
        <f t="shared" si="14"/>
        <v>0</v>
      </c>
      <c r="AS22" s="203"/>
      <c r="AT22" s="212">
        <f t="shared" si="15"/>
        <v>0</v>
      </c>
      <c r="AU22" s="212"/>
      <c r="AV22" s="213"/>
      <c r="AW22" s="128"/>
      <c r="AX22" s="127"/>
      <c r="AY22" s="128"/>
      <c r="AZ22" s="127"/>
      <c r="BA22" s="127"/>
      <c r="BB22" s="127"/>
    </row>
    <row r="23" spans="1:54" ht="13.8" x14ac:dyDescent="0.3">
      <c r="A23" s="198" t="s">
        <v>29</v>
      </c>
      <c r="B23" s="198" t="s">
        <v>162</v>
      </c>
      <c r="C23" s="130" t="s">
        <v>165</v>
      </c>
      <c r="D23" s="127" t="s">
        <v>144</v>
      </c>
      <c r="E23" s="200" t="s">
        <v>131</v>
      </c>
      <c r="F23" s="208" t="s">
        <v>132</v>
      </c>
      <c r="G23" s="200" t="s">
        <v>133</v>
      </c>
      <c r="H23" s="200" t="s">
        <v>145</v>
      </c>
      <c r="I23" s="127" t="str">
        <f t="shared" si="0"/>
        <v>No of Racks</v>
      </c>
      <c r="J23" s="201">
        <v>1</v>
      </c>
      <c r="K23" s="201">
        <v>1</v>
      </c>
      <c r="L23" s="202">
        <f t="shared" si="1"/>
        <v>0</v>
      </c>
      <c r="M23" s="127">
        <f t="shared" si="2"/>
        <v>1</v>
      </c>
      <c r="N23" s="127">
        <f t="shared" si="3"/>
        <v>0</v>
      </c>
      <c r="O23" s="203"/>
      <c r="P23" s="204" t="str">
        <f t="shared" si="4"/>
        <v>Subscribed</v>
      </c>
      <c r="Q23" s="200" t="s">
        <v>160</v>
      </c>
      <c r="R23" s="205">
        <v>3</v>
      </c>
      <c r="S23" s="196">
        <f t="shared" ref="S23:S25" si="20">AF23/672</f>
        <v>1.8181994047619046</v>
      </c>
      <c r="T23" s="195">
        <f t="shared" si="17"/>
        <v>1.1818005952380954</v>
      </c>
      <c r="U23" s="196">
        <v>0</v>
      </c>
      <c r="V23" s="196">
        <f t="shared" si="5"/>
        <v>1.1818005952380954</v>
      </c>
      <c r="W23" s="196">
        <f t="shared" si="6"/>
        <v>3</v>
      </c>
      <c r="X23" s="196">
        <f t="shared" si="7"/>
        <v>1.8181994047619046</v>
      </c>
      <c r="Y23" s="196">
        <f t="shared" si="8"/>
        <v>1.8181994047619046</v>
      </c>
      <c r="Z23" s="196">
        <f t="shared" si="9"/>
        <v>-1.1818005952380954</v>
      </c>
      <c r="AA23" s="206"/>
      <c r="AB23" s="207" t="s">
        <v>132</v>
      </c>
      <c r="AC23" s="196">
        <v>1.8</v>
      </c>
      <c r="AD23" s="196"/>
      <c r="AE23" s="196"/>
      <c r="AF23" s="245">
        <v>1221.83</v>
      </c>
      <c r="AG23" s="209" t="s">
        <v>137</v>
      </c>
      <c r="AH23" s="127" t="s">
        <v>138</v>
      </c>
      <c r="AI23" s="218">
        <v>0</v>
      </c>
      <c r="AJ23" s="218">
        <v>0</v>
      </c>
      <c r="AK23" s="127">
        <f t="shared" si="10"/>
        <v>0</v>
      </c>
      <c r="AL23" s="218">
        <f t="shared" si="11"/>
        <v>0</v>
      </c>
      <c r="AM23" s="196">
        <v>0</v>
      </c>
      <c r="AN23" s="210"/>
      <c r="AO23" s="211">
        <f t="shared" si="12"/>
        <v>0</v>
      </c>
      <c r="AP23" s="206"/>
      <c r="AQ23" s="206">
        <f t="shared" si="13"/>
        <v>0</v>
      </c>
      <c r="AR23" s="206">
        <f t="shared" si="14"/>
        <v>0</v>
      </c>
      <c r="AS23" s="203"/>
      <c r="AT23" s="212">
        <f t="shared" si="15"/>
        <v>0</v>
      </c>
      <c r="AU23" s="212"/>
      <c r="AV23" s="213"/>
      <c r="AW23" s="128"/>
      <c r="AX23" s="127"/>
      <c r="AY23" s="128"/>
      <c r="AZ23" s="127"/>
      <c r="BA23" s="127"/>
      <c r="BB23" s="127"/>
    </row>
    <row r="24" spans="1:54" ht="13.8" x14ac:dyDescent="0.3">
      <c r="A24" s="223" t="s">
        <v>29</v>
      </c>
      <c r="B24" s="223" t="s">
        <v>162</v>
      </c>
      <c r="C24" s="130" t="s">
        <v>167</v>
      </c>
      <c r="D24" s="200" t="s">
        <v>144</v>
      </c>
      <c r="E24" s="200" t="s">
        <v>131</v>
      </c>
      <c r="F24" s="208" t="s">
        <v>132</v>
      </c>
      <c r="G24" s="200" t="s">
        <v>133</v>
      </c>
      <c r="H24" s="200" t="s">
        <v>145</v>
      </c>
      <c r="I24" s="127" t="str">
        <f t="shared" si="0"/>
        <v>No of Racks</v>
      </c>
      <c r="J24" s="201">
        <v>2</v>
      </c>
      <c r="K24" s="201">
        <v>2</v>
      </c>
      <c r="L24" s="202">
        <f t="shared" si="1"/>
        <v>0</v>
      </c>
      <c r="M24" s="127">
        <f t="shared" si="2"/>
        <v>2</v>
      </c>
      <c r="N24" s="127">
        <f t="shared" si="3"/>
        <v>0</v>
      </c>
      <c r="O24" s="203"/>
      <c r="P24" s="204" t="str">
        <f t="shared" si="4"/>
        <v>Subscribed</v>
      </c>
      <c r="Q24" s="200" t="s">
        <v>160</v>
      </c>
      <c r="R24" s="205">
        <v>7</v>
      </c>
      <c r="S24" s="196">
        <f t="shared" si="20"/>
        <v>4.9216815476190474</v>
      </c>
      <c r="T24" s="195">
        <f t="shared" si="17"/>
        <v>2.0783184523809526</v>
      </c>
      <c r="U24" s="196">
        <v>0</v>
      </c>
      <c r="V24" s="196">
        <f t="shared" si="5"/>
        <v>2.0783184523809526</v>
      </c>
      <c r="W24" s="196">
        <f t="shared" si="6"/>
        <v>7</v>
      </c>
      <c r="X24" s="196">
        <f t="shared" si="7"/>
        <v>4.9216815476190474</v>
      </c>
      <c r="Y24" s="196">
        <f t="shared" si="8"/>
        <v>4.9216815476190474</v>
      </c>
      <c r="Z24" s="196">
        <f t="shared" si="9"/>
        <v>-2.0783184523809526</v>
      </c>
      <c r="AA24" s="206"/>
      <c r="AB24" s="207" t="s">
        <v>132</v>
      </c>
      <c r="AC24" s="196">
        <v>1.8</v>
      </c>
      <c r="AD24" s="196"/>
      <c r="AE24" s="196"/>
      <c r="AF24" s="245">
        <v>3307.37</v>
      </c>
      <c r="AG24" s="209" t="s">
        <v>137</v>
      </c>
      <c r="AH24" s="127" t="s">
        <v>138</v>
      </c>
      <c r="AI24" s="218">
        <v>0</v>
      </c>
      <c r="AJ24" s="218">
        <v>0</v>
      </c>
      <c r="AK24" s="127">
        <f t="shared" si="10"/>
        <v>0</v>
      </c>
      <c r="AL24" s="218">
        <f t="shared" si="11"/>
        <v>0</v>
      </c>
      <c r="AM24" s="196">
        <v>0</v>
      </c>
      <c r="AN24" s="210"/>
      <c r="AO24" s="211">
        <f t="shared" si="12"/>
        <v>0</v>
      </c>
      <c r="AP24" s="206"/>
      <c r="AQ24" s="206">
        <f t="shared" si="13"/>
        <v>0</v>
      </c>
      <c r="AR24" s="206">
        <f t="shared" si="14"/>
        <v>0</v>
      </c>
      <c r="AS24" s="203"/>
      <c r="AT24" s="212">
        <f t="shared" si="15"/>
        <v>0</v>
      </c>
      <c r="AU24" s="212"/>
      <c r="AV24" s="213"/>
      <c r="AW24" s="128"/>
      <c r="AX24" s="127"/>
      <c r="AY24" s="128"/>
      <c r="AZ24" s="127"/>
      <c r="BA24" s="127"/>
      <c r="BB24" s="127"/>
    </row>
    <row r="25" spans="1:54" ht="13.8" x14ac:dyDescent="0.3">
      <c r="A25" s="223" t="s">
        <v>29</v>
      </c>
      <c r="B25" s="223" t="s">
        <v>162</v>
      </c>
      <c r="C25" s="219" t="s">
        <v>168</v>
      </c>
      <c r="D25" s="200" t="s">
        <v>130</v>
      </c>
      <c r="E25" s="200" t="s">
        <v>131</v>
      </c>
      <c r="F25" s="208" t="s">
        <v>132</v>
      </c>
      <c r="G25" s="200" t="s">
        <v>133</v>
      </c>
      <c r="H25" s="200" t="s">
        <v>134</v>
      </c>
      <c r="I25" s="127" t="str">
        <f t="shared" si="0"/>
        <v>No of Racks</v>
      </c>
      <c r="J25" s="201">
        <v>5</v>
      </c>
      <c r="K25" s="201">
        <v>5</v>
      </c>
      <c r="L25" s="202">
        <f t="shared" si="1"/>
        <v>0</v>
      </c>
      <c r="M25" s="127">
        <f t="shared" si="2"/>
        <v>5</v>
      </c>
      <c r="N25" s="127">
        <f t="shared" si="3"/>
        <v>0</v>
      </c>
      <c r="O25" s="220">
        <f>12237/12</f>
        <v>1019.75</v>
      </c>
      <c r="P25" s="204" t="str">
        <f t="shared" si="4"/>
        <v>Subscribed</v>
      </c>
      <c r="Q25" s="200" t="s">
        <v>6</v>
      </c>
      <c r="R25" s="205">
        <v>30</v>
      </c>
      <c r="S25" s="196">
        <f t="shared" si="20"/>
        <v>16.492514880952381</v>
      </c>
      <c r="T25" s="195">
        <f t="shared" si="17"/>
        <v>13.507485119047619</v>
      </c>
      <c r="U25" s="196">
        <v>0</v>
      </c>
      <c r="V25" s="196">
        <f t="shared" si="5"/>
        <v>13.507485119047619</v>
      </c>
      <c r="W25" s="196">
        <f t="shared" si="6"/>
        <v>30</v>
      </c>
      <c r="X25" s="196">
        <f t="shared" si="7"/>
        <v>16.492514880952381</v>
      </c>
      <c r="Y25" s="196">
        <f t="shared" si="8"/>
        <v>16.492514880952381</v>
      </c>
      <c r="Z25" s="196">
        <f t="shared" si="9"/>
        <v>-13.507485119047619</v>
      </c>
      <c r="AA25" s="206"/>
      <c r="AB25" s="207" t="s">
        <v>132</v>
      </c>
      <c r="AC25" s="196">
        <v>1.8</v>
      </c>
      <c r="AD25" s="196"/>
      <c r="AE25" s="196"/>
      <c r="AF25" s="245">
        <v>11082.97</v>
      </c>
      <c r="AG25" s="209" t="s">
        <v>137</v>
      </c>
      <c r="AH25" s="127" t="s">
        <v>138</v>
      </c>
      <c r="AI25" s="218">
        <v>1</v>
      </c>
      <c r="AJ25" s="218">
        <v>1</v>
      </c>
      <c r="AK25" s="127">
        <f t="shared" si="10"/>
        <v>0</v>
      </c>
      <c r="AL25" s="218">
        <f t="shared" si="11"/>
        <v>1</v>
      </c>
      <c r="AM25" s="196">
        <v>0</v>
      </c>
      <c r="AN25" s="210"/>
      <c r="AO25" s="211">
        <f t="shared" si="12"/>
        <v>5098.75</v>
      </c>
      <c r="AP25" s="206"/>
      <c r="AQ25" s="206">
        <f t="shared" si="13"/>
        <v>0</v>
      </c>
      <c r="AR25" s="206">
        <f t="shared" si="14"/>
        <v>0</v>
      </c>
      <c r="AS25" s="206"/>
      <c r="AT25" s="212">
        <f t="shared" si="15"/>
        <v>5098.75</v>
      </c>
      <c r="AU25" s="212"/>
      <c r="AV25" s="213"/>
      <c r="AW25" s="128"/>
      <c r="AX25" s="127"/>
      <c r="AY25" s="128"/>
      <c r="AZ25" s="127"/>
      <c r="BA25" s="127"/>
      <c r="BB25" s="127"/>
    </row>
    <row r="26" spans="1:54" ht="12" x14ac:dyDescent="0.3">
      <c r="A26" s="223" t="s">
        <v>29</v>
      </c>
      <c r="B26" s="223" t="s">
        <v>162</v>
      </c>
      <c r="C26" s="227" t="s">
        <v>169</v>
      </c>
      <c r="D26" s="200" t="s">
        <v>144</v>
      </c>
      <c r="E26" s="200" t="s">
        <v>147</v>
      </c>
      <c r="F26" s="208" t="s">
        <v>148</v>
      </c>
      <c r="G26" s="200" t="s">
        <v>133</v>
      </c>
      <c r="H26" s="200" t="s">
        <v>145</v>
      </c>
      <c r="I26" s="127" t="str">
        <f t="shared" si="0"/>
        <v>No of Racks</v>
      </c>
      <c r="J26" s="223">
        <v>1</v>
      </c>
      <c r="K26" s="223">
        <v>1</v>
      </c>
      <c r="L26" s="202">
        <f t="shared" si="1"/>
        <v>0</v>
      </c>
      <c r="M26" s="127">
        <f t="shared" si="2"/>
        <v>1</v>
      </c>
      <c r="N26" s="127">
        <f t="shared" si="3"/>
        <v>0</v>
      </c>
      <c r="O26" s="225">
        <f>495000/12</f>
        <v>41250</v>
      </c>
      <c r="P26" s="204" t="str">
        <f t="shared" si="4"/>
        <v>Rated</v>
      </c>
      <c r="Q26" s="200" t="s">
        <v>6</v>
      </c>
      <c r="R26" s="224">
        <v>6</v>
      </c>
      <c r="S26" s="196">
        <v>5.5</v>
      </c>
      <c r="T26" s="195">
        <f t="shared" si="17"/>
        <v>0.5</v>
      </c>
      <c r="U26" s="196">
        <v>0</v>
      </c>
      <c r="V26" s="196">
        <f t="shared" si="5"/>
        <v>0.25</v>
      </c>
      <c r="W26" s="196">
        <f t="shared" si="6"/>
        <v>3</v>
      </c>
      <c r="X26" s="196">
        <f t="shared" si="7"/>
        <v>5.5</v>
      </c>
      <c r="Y26" s="196">
        <f t="shared" si="8"/>
        <v>5.5</v>
      </c>
      <c r="Z26" s="196">
        <f t="shared" si="9"/>
        <v>-0.5</v>
      </c>
      <c r="AA26" s="220">
        <f>100000/12</f>
        <v>8333.3333333333339</v>
      </c>
      <c r="AB26" s="207" t="s">
        <v>147</v>
      </c>
      <c r="AC26" s="196">
        <v>1.8</v>
      </c>
      <c r="AD26" s="196"/>
      <c r="AE26" s="197"/>
      <c r="AF26" s="197"/>
      <c r="AG26" s="209" t="s">
        <v>137</v>
      </c>
      <c r="AH26" s="127" t="s">
        <v>138</v>
      </c>
      <c r="AI26" s="196">
        <v>0</v>
      </c>
      <c r="AJ26" s="196">
        <v>0</v>
      </c>
      <c r="AK26" s="127">
        <f t="shared" si="10"/>
        <v>0</v>
      </c>
      <c r="AL26" s="196">
        <f t="shared" si="11"/>
        <v>0</v>
      </c>
      <c r="AM26" s="196">
        <v>0</v>
      </c>
      <c r="AN26" s="210"/>
      <c r="AO26" s="211">
        <f t="shared" si="12"/>
        <v>41250</v>
      </c>
      <c r="AP26" s="206"/>
      <c r="AQ26" s="206">
        <f t="shared" si="13"/>
        <v>0</v>
      </c>
      <c r="AR26" s="206">
        <f t="shared" si="14"/>
        <v>0</v>
      </c>
      <c r="AS26" s="203"/>
      <c r="AT26" s="212">
        <f t="shared" si="15"/>
        <v>41250</v>
      </c>
      <c r="AU26" s="212"/>
      <c r="AV26" s="213"/>
      <c r="AW26" s="128"/>
      <c r="AX26" s="127"/>
      <c r="AY26" s="128"/>
      <c r="AZ26" s="127"/>
      <c r="BA26" s="127"/>
      <c r="BB26" s="127"/>
    </row>
    <row r="27" spans="1:54" ht="12" x14ac:dyDescent="0.3">
      <c r="A27" s="223" t="s">
        <v>29</v>
      </c>
      <c r="B27" s="223" t="s">
        <v>162</v>
      </c>
      <c r="C27" s="132" t="s">
        <v>170</v>
      </c>
      <c r="D27" s="200" t="s">
        <v>171</v>
      </c>
      <c r="E27" s="200" t="s">
        <v>147</v>
      </c>
      <c r="F27" s="208" t="s">
        <v>148</v>
      </c>
      <c r="G27" s="199" t="s">
        <v>133</v>
      </c>
      <c r="H27" s="200" t="s">
        <v>145</v>
      </c>
      <c r="I27" s="127" t="str">
        <f t="shared" si="0"/>
        <v>No of Racks</v>
      </c>
      <c r="J27" s="228">
        <v>1</v>
      </c>
      <c r="K27" s="228">
        <v>1</v>
      </c>
      <c r="L27" s="202">
        <f t="shared" si="1"/>
        <v>0</v>
      </c>
      <c r="M27" s="127">
        <f t="shared" si="2"/>
        <v>1</v>
      </c>
      <c r="N27" s="127">
        <f t="shared" si="3"/>
        <v>0</v>
      </c>
      <c r="O27" s="225">
        <f>(17500*65)/12</f>
        <v>94791.666666666672</v>
      </c>
      <c r="P27" s="204" t="str">
        <f t="shared" si="4"/>
        <v>Rated</v>
      </c>
      <c r="Q27" s="200" t="s">
        <v>6</v>
      </c>
      <c r="R27" s="228">
        <v>5.83</v>
      </c>
      <c r="S27" s="251">
        <v>5.8</v>
      </c>
      <c r="T27" s="195">
        <f t="shared" si="17"/>
        <v>3.0000000000000249E-2</v>
      </c>
      <c r="U27" s="196">
        <v>0</v>
      </c>
      <c r="V27" s="196">
        <f t="shared" si="5"/>
        <v>1.5000000000000124E-2</v>
      </c>
      <c r="W27" s="196">
        <f t="shared" si="6"/>
        <v>2.915</v>
      </c>
      <c r="X27" s="196">
        <f t="shared" si="7"/>
        <v>5.8</v>
      </c>
      <c r="Y27" s="196">
        <f t="shared" si="8"/>
        <v>5.8</v>
      </c>
      <c r="Z27" s="196">
        <f t="shared" si="9"/>
        <v>-3.0000000000000249E-2</v>
      </c>
      <c r="AA27" s="206"/>
      <c r="AB27" s="207" t="s">
        <v>147</v>
      </c>
      <c r="AC27" s="196">
        <v>1.8</v>
      </c>
      <c r="AD27" s="196"/>
      <c r="AE27" s="196"/>
      <c r="AF27" s="196"/>
      <c r="AG27" s="209" t="s">
        <v>137</v>
      </c>
      <c r="AH27" s="127" t="s">
        <v>138</v>
      </c>
      <c r="AI27" s="127">
        <v>0</v>
      </c>
      <c r="AJ27" s="127">
        <v>0</v>
      </c>
      <c r="AK27" s="127">
        <f t="shared" si="10"/>
        <v>0</v>
      </c>
      <c r="AL27" s="127">
        <f t="shared" si="11"/>
        <v>0</v>
      </c>
      <c r="AM27" s="127">
        <v>0</v>
      </c>
      <c r="AN27" s="210"/>
      <c r="AO27" s="211">
        <f t="shared" si="12"/>
        <v>94791.666666666672</v>
      </c>
      <c r="AP27" s="206"/>
      <c r="AQ27" s="206">
        <f t="shared" si="13"/>
        <v>0</v>
      </c>
      <c r="AR27" s="206">
        <f t="shared" si="14"/>
        <v>0</v>
      </c>
      <c r="AS27" s="203"/>
      <c r="AT27" s="212">
        <f t="shared" si="15"/>
        <v>94791.666666666672</v>
      </c>
      <c r="AU27" s="212"/>
      <c r="AV27" s="213"/>
      <c r="AW27" s="128"/>
      <c r="AX27" s="127"/>
      <c r="AY27" s="128"/>
      <c r="AZ27" s="127"/>
      <c r="BA27" s="127"/>
      <c r="BB27" s="127"/>
    </row>
    <row r="28" spans="1:54" ht="12" x14ac:dyDescent="0.25">
      <c r="A28" s="223" t="s">
        <v>29</v>
      </c>
      <c r="B28" s="223" t="s">
        <v>162</v>
      </c>
      <c r="C28" s="133" t="s">
        <v>172</v>
      </c>
      <c r="D28" s="200" t="s">
        <v>171</v>
      </c>
      <c r="E28" s="200" t="s">
        <v>147</v>
      </c>
      <c r="F28" s="208" t="s">
        <v>148</v>
      </c>
      <c r="G28" s="199" t="s">
        <v>133</v>
      </c>
      <c r="H28" s="200" t="s">
        <v>145</v>
      </c>
      <c r="I28" s="127" t="str">
        <f t="shared" si="0"/>
        <v>No of Racks</v>
      </c>
      <c r="J28" s="228">
        <v>1</v>
      </c>
      <c r="K28" s="228">
        <v>1</v>
      </c>
      <c r="L28" s="202">
        <f t="shared" si="1"/>
        <v>0</v>
      </c>
      <c r="M28" s="127">
        <f t="shared" si="2"/>
        <v>1</v>
      </c>
      <c r="N28" s="127">
        <f t="shared" si="3"/>
        <v>0</v>
      </c>
      <c r="O28" s="225">
        <f>1127500/12/2</f>
        <v>46979.166666666664</v>
      </c>
      <c r="P28" s="204" t="str">
        <f t="shared" si="4"/>
        <v>Rated</v>
      </c>
      <c r="Q28" s="200" t="s">
        <v>6</v>
      </c>
      <c r="R28" s="228">
        <v>3</v>
      </c>
      <c r="S28" s="251">
        <v>4.78</v>
      </c>
      <c r="T28" s="195">
        <f t="shared" si="17"/>
        <v>-1.7800000000000002</v>
      </c>
      <c r="U28" s="196">
        <v>0</v>
      </c>
      <c r="V28" s="196">
        <f t="shared" si="5"/>
        <v>0</v>
      </c>
      <c r="W28" s="196">
        <f t="shared" si="6"/>
        <v>1.5</v>
      </c>
      <c r="X28" s="196">
        <f t="shared" si="7"/>
        <v>4.78</v>
      </c>
      <c r="Y28" s="196">
        <f t="shared" si="8"/>
        <v>4.78</v>
      </c>
      <c r="Z28" s="196">
        <f t="shared" si="9"/>
        <v>1.7800000000000002</v>
      </c>
      <c r="AA28" s="220">
        <f>110000/12</f>
        <v>9166.6666666666661</v>
      </c>
      <c r="AB28" s="207" t="s">
        <v>147</v>
      </c>
      <c r="AC28" s="196">
        <v>1.8</v>
      </c>
      <c r="AD28" s="196"/>
      <c r="AE28" s="196"/>
      <c r="AF28" s="196"/>
      <c r="AG28" s="209" t="s">
        <v>137</v>
      </c>
      <c r="AH28" s="127" t="s">
        <v>138</v>
      </c>
      <c r="AI28" s="127">
        <v>0</v>
      </c>
      <c r="AJ28" s="127">
        <v>0</v>
      </c>
      <c r="AK28" s="127">
        <f t="shared" si="10"/>
        <v>0</v>
      </c>
      <c r="AL28" s="127">
        <f t="shared" si="11"/>
        <v>0</v>
      </c>
      <c r="AM28" s="127">
        <v>0</v>
      </c>
      <c r="AN28" s="210"/>
      <c r="AO28" s="211">
        <f t="shared" si="12"/>
        <v>46979.166666666664</v>
      </c>
      <c r="AP28" s="206"/>
      <c r="AQ28" s="206">
        <f t="shared" si="13"/>
        <v>0</v>
      </c>
      <c r="AR28" s="206">
        <f t="shared" si="14"/>
        <v>0</v>
      </c>
      <c r="AS28" s="203"/>
      <c r="AT28" s="212">
        <f t="shared" si="15"/>
        <v>46979.166666666664</v>
      </c>
      <c r="AU28" s="212"/>
      <c r="AV28" s="213"/>
      <c r="AW28" s="128"/>
      <c r="AX28" s="127"/>
      <c r="AY28" s="128"/>
      <c r="AZ28" s="127"/>
      <c r="BA28" s="127"/>
      <c r="BB28" s="127"/>
    </row>
    <row r="29" spans="1:54" ht="12" x14ac:dyDescent="0.25">
      <c r="A29" s="223" t="s">
        <v>29</v>
      </c>
      <c r="B29" s="223" t="s">
        <v>162</v>
      </c>
      <c r="C29" s="133" t="s">
        <v>173</v>
      </c>
      <c r="D29" s="200" t="s">
        <v>171</v>
      </c>
      <c r="E29" s="200" t="s">
        <v>147</v>
      </c>
      <c r="F29" s="208" t="s">
        <v>148</v>
      </c>
      <c r="G29" s="199" t="s">
        <v>133</v>
      </c>
      <c r="H29" s="200" t="s">
        <v>145</v>
      </c>
      <c r="I29" s="127" t="str">
        <f t="shared" si="0"/>
        <v>No of Racks</v>
      </c>
      <c r="J29" s="228">
        <v>1</v>
      </c>
      <c r="K29" s="228">
        <v>1</v>
      </c>
      <c r="L29" s="202">
        <f t="shared" si="1"/>
        <v>0</v>
      </c>
      <c r="M29" s="127">
        <f t="shared" si="2"/>
        <v>1</v>
      </c>
      <c r="N29" s="127">
        <f t="shared" si="3"/>
        <v>0</v>
      </c>
      <c r="O29" s="225">
        <f>649950/12</f>
        <v>54162.5</v>
      </c>
      <c r="P29" s="204" t="str">
        <f t="shared" si="4"/>
        <v>Rated</v>
      </c>
      <c r="Q29" s="200" t="s">
        <v>6</v>
      </c>
      <c r="R29" s="228">
        <v>12</v>
      </c>
      <c r="S29" s="251">
        <v>11.14</v>
      </c>
      <c r="T29" s="195">
        <f t="shared" si="17"/>
        <v>0.85999999999999943</v>
      </c>
      <c r="U29" s="196">
        <v>0</v>
      </c>
      <c r="V29" s="196">
        <f t="shared" si="5"/>
        <v>0.42999999999999972</v>
      </c>
      <c r="W29" s="196">
        <f t="shared" si="6"/>
        <v>6</v>
      </c>
      <c r="X29" s="196">
        <f t="shared" si="7"/>
        <v>11.14</v>
      </c>
      <c r="Y29" s="196">
        <f t="shared" si="8"/>
        <v>11.14</v>
      </c>
      <c r="Z29" s="196">
        <f t="shared" si="9"/>
        <v>-0.85999999999999943</v>
      </c>
      <c r="AA29" s="220"/>
      <c r="AB29" s="207" t="s">
        <v>147</v>
      </c>
      <c r="AC29" s="196">
        <v>1.8</v>
      </c>
      <c r="AD29" s="196"/>
      <c r="AE29" s="196"/>
      <c r="AF29" s="196"/>
      <c r="AG29" s="209" t="s">
        <v>137</v>
      </c>
      <c r="AH29" s="127" t="s">
        <v>138</v>
      </c>
      <c r="AI29" s="127">
        <v>0</v>
      </c>
      <c r="AJ29" s="127">
        <v>0</v>
      </c>
      <c r="AK29" s="127">
        <f t="shared" si="10"/>
        <v>0</v>
      </c>
      <c r="AL29" s="127">
        <f t="shared" si="11"/>
        <v>0</v>
      </c>
      <c r="AM29" s="127">
        <v>0</v>
      </c>
      <c r="AN29" s="210"/>
      <c r="AO29" s="211">
        <f t="shared" si="12"/>
        <v>54162.5</v>
      </c>
      <c r="AP29" s="206"/>
      <c r="AQ29" s="206">
        <f t="shared" si="13"/>
        <v>0</v>
      </c>
      <c r="AR29" s="206">
        <f t="shared" si="14"/>
        <v>0</v>
      </c>
      <c r="AS29" s="203"/>
      <c r="AT29" s="212">
        <f t="shared" si="15"/>
        <v>54162.5</v>
      </c>
      <c r="AU29" s="212"/>
      <c r="AV29" s="213"/>
      <c r="AW29" s="128"/>
      <c r="AX29" s="127"/>
      <c r="AY29" s="128"/>
      <c r="AZ29" s="127"/>
      <c r="BA29" s="127"/>
      <c r="BB29" s="127"/>
    </row>
    <row r="30" spans="1:54" ht="12" x14ac:dyDescent="0.3">
      <c r="A30" s="223" t="s">
        <v>29</v>
      </c>
      <c r="B30" s="223" t="s">
        <v>162</v>
      </c>
      <c r="C30" s="131" t="s">
        <v>174</v>
      </c>
      <c r="D30" s="200" t="s">
        <v>171</v>
      </c>
      <c r="E30" s="200" t="s">
        <v>147</v>
      </c>
      <c r="F30" s="208" t="s">
        <v>148</v>
      </c>
      <c r="G30" s="199" t="s">
        <v>133</v>
      </c>
      <c r="H30" s="200" t="s">
        <v>145</v>
      </c>
      <c r="I30" s="127" t="str">
        <f t="shared" si="0"/>
        <v>No of Racks</v>
      </c>
      <c r="J30" s="228">
        <v>2</v>
      </c>
      <c r="K30" s="228">
        <v>2</v>
      </c>
      <c r="L30" s="202">
        <f t="shared" si="1"/>
        <v>0</v>
      </c>
      <c r="M30" s="127">
        <f t="shared" si="2"/>
        <v>2</v>
      </c>
      <c r="N30" s="127">
        <f t="shared" si="3"/>
        <v>0</v>
      </c>
      <c r="O30" s="225">
        <f>40500/12</f>
        <v>3375</v>
      </c>
      <c r="P30" s="204" t="str">
        <f t="shared" si="4"/>
        <v>Rated</v>
      </c>
      <c r="Q30" s="200" t="s">
        <v>6</v>
      </c>
      <c r="R30" s="228">
        <v>12</v>
      </c>
      <c r="S30" s="228">
        <v>11.85</v>
      </c>
      <c r="T30" s="195">
        <f t="shared" si="17"/>
        <v>0.15000000000000036</v>
      </c>
      <c r="U30" s="196">
        <v>0</v>
      </c>
      <c r="V30" s="196">
        <f t="shared" si="5"/>
        <v>7.5000000000000178E-2</v>
      </c>
      <c r="W30" s="196">
        <f t="shared" si="6"/>
        <v>6</v>
      </c>
      <c r="X30" s="196">
        <f t="shared" si="7"/>
        <v>11.85</v>
      </c>
      <c r="Y30" s="196">
        <f t="shared" si="8"/>
        <v>11.85</v>
      </c>
      <c r="Z30" s="196">
        <f t="shared" si="9"/>
        <v>-0.15000000000000036</v>
      </c>
      <c r="AA30" s="220">
        <f>90000/12</f>
        <v>7500</v>
      </c>
      <c r="AB30" s="207" t="s">
        <v>147</v>
      </c>
      <c r="AC30" s="196">
        <v>1.8</v>
      </c>
      <c r="AD30" s="196"/>
      <c r="AE30" s="196"/>
      <c r="AF30" s="196"/>
      <c r="AG30" s="209" t="s">
        <v>137</v>
      </c>
      <c r="AH30" s="127" t="s">
        <v>138</v>
      </c>
      <c r="AI30" s="127">
        <v>0</v>
      </c>
      <c r="AJ30" s="127">
        <v>0</v>
      </c>
      <c r="AK30" s="127">
        <f t="shared" si="10"/>
        <v>0</v>
      </c>
      <c r="AL30" s="127">
        <f t="shared" si="11"/>
        <v>0</v>
      </c>
      <c r="AM30" s="127">
        <v>0</v>
      </c>
      <c r="AN30" s="210"/>
      <c r="AO30" s="211">
        <f t="shared" si="12"/>
        <v>6750</v>
      </c>
      <c r="AP30" s="206"/>
      <c r="AQ30" s="206">
        <f t="shared" si="13"/>
        <v>0</v>
      </c>
      <c r="AR30" s="206">
        <f t="shared" si="14"/>
        <v>0</v>
      </c>
      <c r="AS30" s="203"/>
      <c r="AT30" s="212">
        <f t="shared" si="15"/>
        <v>6750</v>
      </c>
      <c r="AU30" s="212"/>
      <c r="AV30" s="213"/>
      <c r="AW30" s="128"/>
      <c r="AX30" s="127"/>
      <c r="AY30" s="128"/>
      <c r="AZ30" s="229"/>
      <c r="BA30" s="127"/>
      <c r="BB30" s="127"/>
    </row>
    <row r="31" spans="1:54" ht="12" x14ac:dyDescent="0.25">
      <c r="A31" s="223" t="s">
        <v>29</v>
      </c>
      <c r="B31" s="223" t="s">
        <v>162</v>
      </c>
      <c r="C31" s="133" t="s">
        <v>175</v>
      </c>
      <c r="D31" s="200" t="s">
        <v>171</v>
      </c>
      <c r="E31" s="200" t="s">
        <v>147</v>
      </c>
      <c r="F31" s="208" t="s">
        <v>148</v>
      </c>
      <c r="G31" s="230" t="s">
        <v>166</v>
      </c>
      <c r="H31" s="200" t="s">
        <v>145</v>
      </c>
      <c r="I31" s="127" t="str">
        <f t="shared" si="0"/>
        <v>U Space</v>
      </c>
      <c r="J31" s="228">
        <v>37</v>
      </c>
      <c r="K31" s="228">
        <v>27</v>
      </c>
      <c r="L31" s="202">
        <f t="shared" si="1"/>
        <v>10</v>
      </c>
      <c r="M31" s="127">
        <f t="shared" si="2"/>
        <v>37</v>
      </c>
      <c r="N31" s="127">
        <f t="shared" si="3"/>
        <v>0</v>
      </c>
      <c r="O31" s="225">
        <f>(1216313+858000)/12/2</f>
        <v>86429.708333333328</v>
      </c>
      <c r="P31" s="204" t="str">
        <f t="shared" si="4"/>
        <v>Rated</v>
      </c>
      <c r="Q31" s="200" t="s">
        <v>6</v>
      </c>
      <c r="R31" s="228">
        <v>14.94</v>
      </c>
      <c r="S31" s="228">
        <v>14.94</v>
      </c>
      <c r="T31" s="195">
        <f t="shared" si="17"/>
        <v>0</v>
      </c>
      <c r="U31" s="196">
        <v>0</v>
      </c>
      <c r="V31" s="196">
        <f t="shared" si="5"/>
        <v>0</v>
      </c>
      <c r="W31" s="196">
        <f t="shared" si="6"/>
        <v>7.47</v>
      </c>
      <c r="X31" s="196">
        <f t="shared" si="7"/>
        <v>14.94</v>
      </c>
      <c r="Y31" s="196">
        <f t="shared" si="8"/>
        <v>14.94</v>
      </c>
      <c r="Z31" s="196">
        <f t="shared" si="9"/>
        <v>0</v>
      </c>
      <c r="AA31" s="220">
        <f>110000/12</f>
        <v>9166.6666666666661</v>
      </c>
      <c r="AB31" s="207" t="s">
        <v>147</v>
      </c>
      <c r="AC31" s="196">
        <v>1.8</v>
      </c>
      <c r="AD31" s="196"/>
      <c r="AE31" s="196"/>
      <c r="AF31" s="196"/>
      <c r="AG31" s="209" t="s">
        <v>137</v>
      </c>
      <c r="AH31" s="127" t="s">
        <v>138</v>
      </c>
      <c r="AI31" s="127">
        <v>0</v>
      </c>
      <c r="AJ31" s="127">
        <v>0</v>
      </c>
      <c r="AK31" s="127">
        <f t="shared" si="10"/>
        <v>0</v>
      </c>
      <c r="AL31" s="127">
        <f t="shared" si="11"/>
        <v>0</v>
      </c>
      <c r="AM31" s="127">
        <v>0</v>
      </c>
      <c r="AN31" s="210"/>
      <c r="AO31" s="211">
        <f t="shared" si="12"/>
        <v>3197899.208333333</v>
      </c>
      <c r="AP31" s="206"/>
      <c r="AQ31" s="206">
        <f t="shared" si="13"/>
        <v>0</v>
      </c>
      <c r="AR31" s="206">
        <f t="shared" si="14"/>
        <v>0</v>
      </c>
      <c r="AS31" s="212"/>
      <c r="AT31" s="212">
        <f t="shared" si="15"/>
        <v>3197899.208333333</v>
      </c>
      <c r="AU31" s="212"/>
      <c r="AV31" s="213"/>
      <c r="AW31" s="128"/>
      <c r="AX31" s="127"/>
      <c r="AY31" s="128"/>
      <c r="AZ31" s="213"/>
      <c r="BA31" s="127"/>
      <c r="BB31" s="127"/>
    </row>
    <row r="32" spans="1:54" ht="12" x14ac:dyDescent="0.25">
      <c r="A32" s="223" t="s">
        <v>29</v>
      </c>
      <c r="B32" s="223" t="s">
        <v>162</v>
      </c>
      <c r="C32" s="133" t="s">
        <v>176</v>
      </c>
      <c r="D32" s="200" t="s">
        <v>171</v>
      </c>
      <c r="E32" s="200" t="s">
        <v>147</v>
      </c>
      <c r="F32" s="208" t="s">
        <v>148</v>
      </c>
      <c r="G32" s="199" t="s">
        <v>133</v>
      </c>
      <c r="H32" s="200" t="s">
        <v>145</v>
      </c>
      <c r="I32" s="127" t="str">
        <f t="shared" si="0"/>
        <v>No of Racks</v>
      </c>
      <c r="J32" s="228">
        <v>1</v>
      </c>
      <c r="K32" s="228">
        <v>1</v>
      </c>
      <c r="L32" s="202">
        <f t="shared" si="1"/>
        <v>0</v>
      </c>
      <c r="M32" s="127">
        <f t="shared" si="2"/>
        <v>1</v>
      </c>
      <c r="N32" s="127">
        <f t="shared" si="3"/>
        <v>0</v>
      </c>
      <c r="O32" s="225">
        <f>(907600+412500)/12/2</f>
        <v>55004.166666666664</v>
      </c>
      <c r="P32" s="204" t="str">
        <f t="shared" si="4"/>
        <v>Rated</v>
      </c>
      <c r="Q32" s="200" t="s">
        <v>6</v>
      </c>
      <c r="R32" s="228">
        <v>12</v>
      </c>
      <c r="S32" s="228">
        <v>11.92</v>
      </c>
      <c r="T32" s="195">
        <f t="shared" si="17"/>
        <v>8.0000000000000071E-2</v>
      </c>
      <c r="U32" s="196">
        <v>0</v>
      </c>
      <c r="V32" s="196">
        <f t="shared" si="5"/>
        <v>4.0000000000000036E-2</v>
      </c>
      <c r="W32" s="196">
        <f t="shared" si="6"/>
        <v>6</v>
      </c>
      <c r="X32" s="196">
        <f t="shared" si="7"/>
        <v>11.92</v>
      </c>
      <c r="Y32" s="196">
        <f t="shared" si="8"/>
        <v>11.92</v>
      </c>
      <c r="Z32" s="196">
        <f t="shared" si="9"/>
        <v>-8.0000000000000071E-2</v>
      </c>
      <c r="AA32" s="220">
        <f>80000/12</f>
        <v>6666.666666666667</v>
      </c>
      <c r="AB32" s="207" t="s">
        <v>147</v>
      </c>
      <c r="AC32" s="196">
        <v>1.8</v>
      </c>
      <c r="AD32" s="196"/>
      <c r="AE32" s="196"/>
      <c r="AF32" s="196"/>
      <c r="AG32" s="209" t="s">
        <v>137</v>
      </c>
      <c r="AH32" s="127" t="s">
        <v>138</v>
      </c>
      <c r="AI32" s="127">
        <v>0</v>
      </c>
      <c r="AJ32" s="127">
        <v>0</v>
      </c>
      <c r="AK32" s="127">
        <f t="shared" si="10"/>
        <v>0</v>
      </c>
      <c r="AL32" s="127">
        <f t="shared" si="11"/>
        <v>0</v>
      </c>
      <c r="AM32" s="127">
        <v>0</v>
      </c>
      <c r="AN32" s="210"/>
      <c r="AO32" s="211">
        <f t="shared" si="12"/>
        <v>55004.166666666664</v>
      </c>
      <c r="AP32" s="206"/>
      <c r="AQ32" s="206">
        <f t="shared" si="13"/>
        <v>0</v>
      </c>
      <c r="AR32" s="206">
        <f t="shared" si="14"/>
        <v>0</v>
      </c>
      <c r="AS32" s="203"/>
      <c r="AT32" s="212">
        <f t="shared" si="15"/>
        <v>55004.166666666664</v>
      </c>
      <c r="AU32" s="212"/>
      <c r="AV32" s="213"/>
      <c r="AW32" s="128"/>
      <c r="AX32" s="127"/>
      <c r="AY32" s="128"/>
      <c r="AZ32" s="127"/>
      <c r="BA32" s="127"/>
      <c r="BB32" s="127"/>
    </row>
    <row r="33" spans="1:54" ht="12" x14ac:dyDescent="0.25">
      <c r="A33" s="223" t="s">
        <v>29</v>
      </c>
      <c r="B33" s="223" t="s">
        <v>162</v>
      </c>
      <c r="C33" s="133" t="s">
        <v>177</v>
      </c>
      <c r="D33" s="200" t="s">
        <v>171</v>
      </c>
      <c r="E33" s="200" t="s">
        <v>147</v>
      </c>
      <c r="F33" s="208" t="s">
        <v>148</v>
      </c>
      <c r="G33" s="199" t="s">
        <v>133</v>
      </c>
      <c r="H33" s="200" t="s">
        <v>145</v>
      </c>
      <c r="I33" s="127" t="str">
        <f t="shared" si="0"/>
        <v>No of Racks</v>
      </c>
      <c r="J33" s="228">
        <v>11</v>
      </c>
      <c r="K33" s="228">
        <v>11</v>
      </c>
      <c r="L33" s="202">
        <f t="shared" si="1"/>
        <v>0</v>
      </c>
      <c r="M33" s="127">
        <f t="shared" si="2"/>
        <v>11</v>
      </c>
      <c r="N33" s="127">
        <f t="shared" si="3"/>
        <v>0</v>
      </c>
      <c r="O33" s="225">
        <f>561132/12</f>
        <v>46761</v>
      </c>
      <c r="P33" s="204" t="str">
        <f t="shared" si="4"/>
        <v>Rated</v>
      </c>
      <c r="Q33" s="200" t="s">
        <v>6</v>
      </c>
      <c r="R33" s="228">
        <v>115.5</v>
      </c>
      <c r="S33" s="228">
        <v>118.33</v>
      </c>
      <c r="T33" s="195">
        <f t="shared" si="17"/>
        <v>-2.8299999999999983</v>
      </c>
      <c r="U33" s="196">
        <v>0</v>
      </c>
      <c r="V33" s="196">
        <f t="shared" si="5"/>
        <v>0</v>
      </c>
      <c r="W33" s="196">
        <f t="shared" si="6"/>
        <v>57.75</v>
      </c>
      <c r="X33" s="196">
        <f t="shared" si="7"/>
        <v>118.33</v>
      </c>
      <c r="Y33" s="196">
        <f t="shared" si="8"/>
        <v>118.33</v>
      </c>
      <c r="Z33" s="196">
        <f t="shared" si="9"/>
        <v>2.8299999999999983</v>
      </c>
      <c r="AA33" s="206"/>
      <c r="AB33" s="207" t="s">
        <v>147</v>
      </c>
      <c r="AC33" s="196">
        <v>1.8</v>
      </c>
      <c r="AD33" s="196"/>
      <c r="AE33" s="196"/>
      <c r="AF33" s="196"/>
      <c r="AG33" s="209" t="s">
        <v>137</v>
      </c>
      <c r="AH33" s="127" t="s">
        <v>138</v>
      </c>
      <c r="AI33" s="127">
        <v>0</v>
      </c>
      <c r="AJ33" s="127">
        <v>0</v>
      </c>
      <c r="AK33" s="127">
        <f t="shared" si="10"/>
        <v>0</v>
      </c>
      <c r="AL33" s="127">
        <f t="shared" si="11"/>
        <v>0</v>
      </c>
      <c r="AM33" s="127">
        <v>0</v>
      </c>
      <c r="AN33" s="210"/>
      <c r="AO33" s="211">
        <f t="shared" si="12"/>
        <v>514371</v>
      </c>
      <c r="AP33" s="206"/>
      <c r="AQ33" s="206">
        <f t="shared" si="13"/>
        <v>0</v>
      </c>
      <c r="AR33" s="206">
        <f t="shared" si="14"/>
        <v>0</v>
      </c>
      <c r="AS33" s="203"/>
      <c r="AT33" s="212">
        <f t="shared" si="15"/>
        <v>514371</v>
      </c>
      <c r="AU33" s="212"/>
      <c r="AV33" s="213"/>
      <c r="AW33" s="128"/>
      <c r="AX33" s="127"/>
      <c r="AY33" s="128"/>
      <c r="AZ33" s="127"/>
      <c r="BA33" s="127"/>
      <c r="BB33" s="127"/>
    </row>
    <row r="34" spans="1:54" ht="12" x14ac:dyDescent="0.25">
      <c r="A34" s="223" t="s">
        <v>29</v>
      </c>
      <c r="B34" s="223" t="s">
        <v>162</v>
      </c>
      <c r="C34" s="133" t="s">
        <v>178</v>
      </c>
      <c r="D34" s="200" t="s">
        <v>171</v>
      </c>
      <c r="E34" s="200" t="s">
        <v>147</v>
      </c>
      <c r="F34" s="208" t="s">
        <v>148</v>
      </c>
      <c r="G34" s="199" t="s">
        <v>133</v>
      </c>
      <c r="H34" s="200" t="s">
        <v>145</v>
      </c>
      <c r="I34" s="127" t="str">
        <f t="shared" si="0"/>
        <v>No of Racks</v>
      </c>
      <c r="J34" s="228">
        <v>4</v>
      </c>
      <c r="K34" s="228">
        <v>4</v>
      </c>
      <c r="L34" s="202">
        <f t="shared" si="1"/>
        <v>0</v>
      </c>
      <c r="M34" s="127">
        <f t="shared" si="2"/>
        <v>4</v>
      </c>
      <c r="N34" s="127">
        <f t="shared" si="3"/>
        <v>0</v>
      </c>
      <c r="O34" s="225">
        <f>610000/12</f>
        <v>50833.333333333336</v>
      </c>
      <c r="P34" s="204" t="str">
        <f t="shared" si="4"/>
        <v>Rated</v>
      </c>
      <c r="Q34" s="200" t="s">
        <v>6</v>
      </c>
      <c r="R34" s="228">
        <v>12</v>
      </c>
      <c r="S34" s="228">
        <v>7.28</v>
      </c>
      <c r="T34" s="195">
        <f t="shared" si="17"/>
        <v>4.72</v>
      </c>
      <c r="U34" s="196">
        <v>0</v>
      </c>
      <c r="V34" s="196">
        <f t="shared" si="5"/>
        <v>2.36</v>
      </c>
      <c r="W34" s="196">
        <f t="shared" si="6"/>
        <v>6</v>
      </c>
      <c r="X34" s="196">
        <f t="shared" si="7"/>
        <v>7.28</v>
      </c>
      <c r="Y34" s="196">
        <f t="shared" si="8"/>
        <v>7.28</v>
      </c>
      <c r="Z34" s="196">
        <f t="shared" si="9"/>
        <v>-4.72</v>
      </c>
      <c r="AA34" s="206"/>
      <c r="AB34" s="207" t="s">
        <v>147</v>
      </c>
      <c r="AC34" s="196">
        <v>1.8</v>
      </c>
      <c r="AD34" s="196"/>
      <c r="AE34" s="196"/>
      <c r="AF34" s="196"/>
      <c r="AG34" s="209" t="s">
        <v>137</v>
      </c>
      <c r="AH34" s="127" t="s">
        <v>138</v>
      </c>
      <c r="AI34" s="127">
        <v>0</v>
      </c>
      <c r="AJ34" s="127">
        <v>0</v>
      </c>
      <c r="AK34" s="127">
        <f t="shared" si="10"/>
        <v>0</v>
      </c>
      <c r="AL34" s="127">
        <f t="shared" si="11"/>
        <v>0</v>
      </c>
      <c r="AM34" s="127">
        <v>0</v>
      </c>
      <c r="AN34" s="210"/>
      <c r="AO34" s="211">
        <f t="shared" si="12"/>
        <v>203333.33333333334</v>
      </c>
      <c r="AP34" s="206"/>
      <c r="AQ34" s="206">
        <f t="shared" si="13"/>
        <v>0</v>
      </c>
      <c r="AR34" s="206">
        <f t="shared" si="14"/>
        <v>0</v>
      </c>
      <c r="AS34" s="203"/>
      <c r="AT34" s="212">
        <f t="shared" si="15"/>
        <v>203333.33333333334</v>
      </c>
      <c r="AU34" s="212"/>
      <c r="AV34" s="213"/>
      <c r="AW34" s="128"/>
      <c r="AX34" s="127"/>
      <c r="AY34" s="128"/>
      <c r="AZ34" s="127"/>
      <c r="BA34" s="127"/>
      <c r="BB34" s="127"/>
    </row>
    <row r="35" spans="1:54" ht="12" x14ac:dyDescent="0.3">
      <c r="A35" s="223" t="s">
        <v>29</v>
      </c>
      <c r="B35" s="223" t="s">
        <v>162</v>
      </c>
      <c r="C35" s="131" t="s">
        <v>179</v>
      </c>
      <c r="D35" s="200" t="s">
        <v>171</v>
      </c>
      <c r="E35" s="200" t="s">
        <v>147</v>
      </c>
      <c r="F35" s="208" t="s">
        <v>148</v>
      </c>
      <c r="G35" s="199" t="s">
        <v>133</v>
      </c>
      <c r="H35" s="200" t="s">
        <v>145</v>
      </c>
      <c r="I35" s="127" t="str">
        <f t="shared" si="0"/>
        <v>No of Racks</v>
      </c>
      <c r="J35" s="228">
        <v>2</v>
      </c>
      <c r="K35" s="228">
        <v>2</v>
      </c>
      <c r="L35" s="202">
        <f t="shared" si="1"/>
        <v>0</v>
      </c>
      <c r="M35" s="127">
        <f t="shared" si="2"/>
        <v>2</v>
      </c>
      <c r="N35" s="127">
        <f t="shared" si="3"/>
        <v>0</v>
      </c>
      <c r="O35" s="225">
        <f>490000/12</f>
        <v>40833.333333333336</v>
      </c>
      <c r="P35" s="204" t="str">
        <f t="shared" si="4"/>
        <v>Rated</v>
      </c>
      <c r="Q35" s="200" t="s">
        <v>6</v>
      </c>
      <c r="R35" s="228">
        <v>10</v>
      </c>
      <c r="S35" s="228">
        <v>9.27</v>
      </c>
      <c r="T35" s="195">
        <f t="shared" si="17"/>
        <v>0.73000000000000043</v>
      </c>
      <c r="U35" s="196">
        <v>0</v>
      </c>
      <c r="V35" s="196">
        <f t="shared" si="5"/>
        <v>0.36500000000000021</v>
      </c>
      <c r="W35" s="196">
        <f t="shared" si="6"/>
        <v>5</v>
      </c>
      <c r="X35" s="196">
        <f t="shared" si="7"/>
        <v>9.27</v>
      </c>
      <c r="Y35" s="196">
        <f t="shared" si="8"/>
        <v>9.27</v>
      </c>
      <c r="Z35" s="196">
        <f t="shared" si="9"/>
        <v>-0.73000000000000043</v>
      </c>
      <c r="AA35" s="206"/>
      <c r="AB35" s="207" t="s">
        <v>147</v>
      </c>
      <c r="AC35" s="196">
        <v>1.8</v>
      </c>
      <c r="AD35" s="196"/>
      <c r="AE35" s="196"/>
      <c r="AF35" s="196"/>
      <c r="AG35" s="209" t="s">
        <v>137</v>
      </c>
      <c r="AH35" s="127" t="s">
        <v>138</v>
      </c>
      <c r="AI35" s="127">
        <v>0</v>
      </c>
      <c r="AJ35" s="127">
        <v>0</v>
      </c>
      <c r="AK35" s="127">
        <f t="shared" si="10"/>
        <v>0</v>
      </c>
      <c r="AL35" s="127">
        <f t="shared" si="11"/>
        <v>0</v>
      </c>
      <c r="AM35" s="127">
        <v>0</v>
      </c>
      <c r="AN35" s="210"/>
      <c r="AO35" s="211">
        <f t="shared" si="12"/>
        <v>81666.666666666672</v>
      </c>
      <c r="AP35" s="206"/>
      <c r="AQ35" s="206">
        <f t="shared" si="13"/>
        <v>0</v>
      </c>
      <c r="AR35" s="206">
        <f t="shared" si="14"/>
        <v>0</v>
      </c>
      <c r="AS35" s="203"/>
      <c r="AT35" s="212">
        <f t="shared" si="15"/>
        <v>81666.666666666672</v>
      </c>
      <c r="AU35" s="212"/>
      <c r="AV35" s="213"/>
      <c r="AW35" s="128"/>
      <c r="AX35" s="127"/>
      <c r="AY35" s="128"/>
      <c r="AZ35" s="127"/>
      <c r="BA35" s="127"/>
      <c r="BB35" s="127"/>
    </row>
    <row r="36" spans="1:54" ht="12" x14ac:dyDescent="0.25">
      <c r="A36" s="223" t="s">
        <v>29</v>
      </c>
      <c r="B36" s="223" t="s">
        <v>162</v>
      </c>
      <c r="C36" s="133" t="s">
        <v>180</v>
      </c>
      <c r="D36" s="200" t="s">
        <v>171</v>
      </c>
      <c r="E36" s="200" t="s">
        <v>147</v>
      </c>
      <c r="F36" s="208" t="s">
        <v>148</v>
      </c>
      <c r="G36" s="199" t="s">
        <v>133</v>
      </c>
      <c r="H36" s="200" t="s">
        <v>145</v>
      </c>
      <c r="I36" s="127" t="str">
        <f t="shared" ref="I36:I67" si="21">IF(G36="Rack","No of Racks",(IF(G36="Space","Sq Ft","U Space")))</f>
        <v>No of Racks</v>
      </c>
      <c r="J36" s="228">
        <v>7</v>
      </c>
      <c r="K36" s="228">
        <v>7</v>
      </c>
      <c r="L36" s="202">
        <f t="shared" ref="L36:L67" si="22">J36-K36</f>
        <v>0</v>
      </c>
      <c r="M36" s="127">
        <f t="shared" ref="M36:M67" si="23">J36</f>
        <v>7</v>
      </c>
      <c r="N36" s="127">
        <f t="shared" ref="N36:N67" si="24">J36-M36</f>
        <v>0</v>
      </c>
      <c r="O36" s="225">
        <f>498000/12</f>
        <v>41500</v>
      </c>
      <c r="P36" s="204" t="str">
        <f t="shared" ref="P36:P67" si="25">E36</f>
        <v>Rated</v>
      </c>
      <c r="Q36" s="200" t="s">
        <v>6</v>
      </c>
      <c r="R36" s="219">
        <v>48.53</v>
      </c>
      <c r="S36" s="228">
        <v>47.9</v>
      </c>
      <c r="T36" s="195">
        <f t="shared" ref="T36:T67" si="26">R36-S36</f>
        <v>0.63000000000000256</v>
      </c>
      <c r="U36" s="196">
        <v>0</v>
      </c>
      <c r="V36" s="196">
        <f t="shared" ref="V36:V83" si="27">IF(T36&lt;=0,0,(IF(P36="Rated",(T36+U36)*$V$1,(T36+U36))))</f>
        <v>0.31500000000000128</v>
      </c>
      <c r="W36" s="196">
        <f t="shared" ref="W36:W83" si="28">IF(P36="Rated",R36*$V$1,R36)</f>
        <v>24.265000000000001</v>
      </c>
      <c r="X36" s="196">
        <f t="shared" ref="X36:X67" si="29">S36</f>
        <v>47.9</v>
      </c>
      <c r="Y36" s="196">
        <f t="shared" ref="Y36:Y67" si="30">S36</f>
        <v>47.9</v>
      </c>
      <c r="Z36" s="196">
        <f t="shared" ref="Z36:Z67" si="31">T36*-1</f>
        <v>-0.63000000000000256</v>
      </c>
      <c r="AA36" s="220">
        <f>110000/12</f>
        <v>9166.6666666666661</v>
      </c>
      <c r="AB36" s="207" t="s">
        <v>147</v>
      </c>
      <c r="AC36" s="196">
        <v>1.8</v>
      </c>
      <c r="AD36" s="196"/>
      <c r="AE36" s="196"/>
      <c r="AF36" s="196"/>
      <c r="AG36" s="209" t="s">
        <v>137</v>
      </c>
      <c r="AH36" s="127" t="s">
        <v>138</v>
      </c>
      <c r="AI36" s="127">
        <v>0</v>
      </c>
      <c r="AJ36" s="127">
        <v>0</v>
      </c>
      <c r="AK36" s="127">
        <f t="shared" ref="AK36:AK67" si="32">AI36-AJ36</f>
        <v>0</v>
      </c>
      <c r="AL36" s="127">
        <f t="shared" ref="AL36:AL67" si="33">AI36</f>
        <v>0</v>
      </c>
      <c r="AM36" s="127">
        <v>0</v>
      </c>
      <c r="AN36" s="210"/>
      <c r="AO36" s="211">
        <f t="shared" si="12"/>
        <v>290500</v>
      </c>
      <c r="AP36" s="206"/>
      <c r="AQ36" s="206">
        <f t="shared" si="13"/>
        <v>0</v>
      </c>
      <c r="AR36" s="206">
        <f t="shared" si="14"/>
        <v>0</v>
      </c>
      <c r="AS36" s="203"/>
      <c r="AT36" s="212">
        <f t="shared" si="15"/>
        <v>290500</v>
      </c>
      <c r="AU36" s="212"/>
      <c r="AV36" s="213"/>
      <c r="AW36" s="128"/>
      <c r="AX36" s="127"/>
      <c r="AY36" s="128"/>
      <c r="AZ36" s="127"/>
      <c r="BA36" s="127"/>
      <c r="BB36" s="127"/>
    </row>
    <row r="37" spans="1:54" ht="12" x14ac:dyDescent="0.3">
      <c r="A37" s="223" t="s">
        <v>29</v>
      </c>
      <c r="B37" s="223" t="s">
        <v>162</v>
      </c>
      <c r="C37" s="131" t="s">
        <v>182</v>
      </c>
      <c r="D37" s="200" t="s">
        <v>171</v>
      </c>
      <c r="E37" s="200" t="s">
        <v>147</v>
      </c>
      <c r="F37" s="208" t="s">
        <v>148</v>
      </c>
      <c r="G37" s="199" t="s">
        <v>166</v>
      </c>
      <c r="H37" s="200" t="s">
        <v>145</v>
      </c>
      <c r="I37" s="127" t="str">
        <f t="shared" si="21"/>
        <v>U Space</v>
      </c>
      <c r="J37" s="228">
        <v>9</v>
      </c>
      <c r="K37" s="228">
        <v>9</v>
      </c>
      <c r="L37" s="202">
        <f t="shared" si="22"/>
        <v>0</v>
      </c>
      <c r="M37" s="127">
        <f t="shared" si="23"/>
        <v>9</v>
      </c>
      <c r="N37" s="127">
        <f t="shared" si="24"/>
        <v>0</v>
      </c>
      <c r="O37" s="225">
        <f>32000/12</f>
        <v>2666.6666666666665</v>
      </c>
      <c r="P37" s="204" t="str">
        <f t="shared" si="25"/>
        <v>Rated</v>
      </c>
      <c r="Q37" s="200" t="s">
        <v>6</v>
      </c>
      <c r="R37" s="228">
        <v>8.06</v>
      </c>
      <c r="S37" s="228">
        <v>3.9</v>
      </c>
      <c r="T37" s="195">
        <f t="shared" si="26"/>
        <v>4.16</v>
      </c>
      <c r="U37" s="196">
        <v>0</v>
      </c>
      <c r="V37" s="196">
        <f t="shared" si="27"/>
        <v>2.08</v>
      </c>
      <c r="W37" s="196">
        <f t="shared" si="28"/>
        <v>4.03</v>
      </c>
      <c r="X37" s="196">
        <f t="shared" si="29"/>
        <v>3.9</v>
      </c>
      <c r="Y37" s="196">
        <f t="shared" si="30"/>
        <v>3.9</v>
      </c>
      <c r="Z37" s="196">
        <f t="shared" si="31"/>
        <v>-4.16</v>
      </c>
      <c r="AA37" s="220">
        <v>0</v>
      </c>
      <c r="AB37" s="207" t="s">
        <v>147</v>
      </c>
      <c r="AC37" s="196">
        <v>1.8</v>
      </c>
      <c r="AD37" s="196"/>
      <c r="AE37" s="196"/>
      <c r="AF37" s="196"/>
      <c r="AG37" s="209" t="s">
        <v>137</v>
      </c>
      <c r="AH37" s="127" t="s">
        <v>138</v>
      </c>
      <c r="AI37" s="127">
        <v>0</v>
      </c>
      <c r="AJ37" s="127">
        <v>0</v>
      </c>
      <c r="AK37" s="127">
        <f t="shared" si="32"/>
        <v>0</v>
      </c>
      <c r="AL37" s="127">
        <f t="shared" si="33"/>
        <v>0</v>
      </c>
      <c r="AM37" s="127">
        <v>0</v>
      </c>
      <c r="AN37" s="210"/>
      <c r="AO37" s="211">
        <f t="shared" si="12"/>
        <v>24000</v>
      </c>
      <c r="AP37" s="206"/>
      <c r="AQ37" s="206">
        <f t="shared" si="13"/>
        <v>0</v>
      </c>
      <c r="AR37" s="206">
        <f t="shared" si="14"/>
        <v>0</v>
      </c>
      <c r="AS37" s="203"/>
      <c r="AT37" s="212">
        <f t="shared" si="15"/>
        <v>24000</v>
      </c>
      <c r="AU37" s="212"/>
      <c r="AV37" s="213"/>
      <c r="AW37" s="128"/>
      <c r="AX37" s="127"/>
      <c r="AY37" s="128"/>
      <c r="AZ37" s="127"/>
      <c r="BA37" s="127"/>
      <c r="BB37" s="127"/>
    </row>
    <row r="38" spans="1:54" ht="12" x14ac:dyDescent="0.25">
      <c r="A38" s="223" t="s">
        <v>29</v>
      </c>
      <c r="B38" s="223" t="s">
        <v>162</v>
      </c>
      <c r="C38" s="133" t="s">
        <v>183</v>
      </c>
      <c r="D38" s="200" t="s">
        <v>171</v>
      </c>
      <c r="E38" s="200" t="s">
        <v>147</v>
      </c>
      <c r="F38" s="208" t="s">
        <v>148</v>
      </c>
      <c r="G38" s="199" t="s">
        <v>133</v>
      </c>
      <c r="H38" s="200" t="s">
        <v>145</v>
      </c>
      <c r="I38" s="127" t="str">
        <f t="shared" si="21"/>
        <v>No of Racks</v>
      </c>
      <c r="J38" s="228">
        <v>2</v>
      </c>
      <c r="K38" s="228">
        <v>2</v>
      </c>
      <c r="L38" s="202">
        <f t="shared" si="22"/>
        <v>0</v>
      </c>
      <c r="M38" s="127">
        <f t="shared" si="23"/>
        <v>2</v>
      </c>
      <c r="N38" s="127">
        <f t="shared" si="24"/>
        <v>0</v>
      </c>
      <c r="O38" s="220">
        <f>(510500+365000)/2/12</f>
        <v>36479.166666666664</v>
      </c>
      <c r="P38" s="204" t="str">
        <f t="shared" si="25"/>
        <v>Rated</v>
      </c>
      <c r="Q38" s="200" t="s">
        <v>6</v>
      </c>
      <c r="R38" s="228">
        <v>21</v>
      </c>
      <c r="S38" s="228">
        <v>23.3</v>
      </c>
      <c r="T38" s="195">
        <f t="shared" si="26"/>
        <v>-2.3000000000000007</v>
      </c>
      <c r="U38" s="196">
        <v>0</v>
      </c>
      <c r="V38" s="196">
        <f t="shared" si="27"/>
        <v>0</v>
      </c>
      <c r="W38" s="196">
        <f t="shared" si="28"/>
        <v>10.5</v>
      </c>
      <c r="X38" s="196">
        <f t="shared" si="29"/>
        <v>23.3</v>
      </c>
      <c r="Y38" s="196">
        <f t="shared" si="30"/>
        <v>23.3</v>
      </c>
      <c r="Z38" s="196">
        <f t="shared" si="31"/>
        <v>2.3000000000000007</v>
      </c>
      <c r="AA38" s="220">
        <f>85000/12</f>
        <v>7083.333333333333</v>
      </c>
      <c r="AB38" s="207" t="s">
        <v>147</v>
      </c>
      <c r="AC38" s="196">
        <v>1.8</v>
      </c>
      <c r="AD38" s="196"/>
      <c r="AE38" s="196"/>
      <c r="AF38" s="196"/>
      <c r="AG38" s="209" t="s">
        <v>137</v>
      </c>
      <c r="AH38" s="127" t="s">
        <v>138</v>
      </c>
      <c r="AI38" s="127">
        <v>0</v>
      </c>
      <c r="AJ38" s="127">
        <v>0</v>
      </c>
      <c r="AK38" s="127">
        <f t="shared" si="32"/>
        <v>0</v>
      </c>
      <c r="AL38" s="127">
        <f t="shared" si="33"/>
        <v>0</v>
      </c>
      <c r="AM38" s="127">
        <v>0</v>
      </c>
      <c r="AN38" s="210"/>
      <c r="AO38" s="211">
        <f t="shared" si="12"/>
        <v>72958.333333333328</v>
      </c>
      <c r="AP38" s="206"/>
      <c r="AQ38" s="206">
        <f t="shared" si="13"/>
        <v>0</v>
      </c>
      <c r="AR38" s="206">
        <f t="shared" si="14"/>
        <v>0</v>
      </c>
      <c r="AS38" s="203"/>
      <c r="AT38" s="212">
        <f t="shared" si="15"/>
        <v>72958.333333333328</v>
      </c>
      <c r="AU38" s="212"/>
      <c r="AV38" s="213"/>
      <c r="AW38" s="128"/>
      <c r="AX38" s="127"/>
      <c r="AY38" s="128"/>
      <c r="AZ38" s="127"/>
      <c r="BA38" s="127"/>
      <c r="BB38" s="127"/>
    </row>
    <row r="39" spans="1:54" ht="12" x14ac:dyDescent="0.3">
      <c r="A39" s="223" t="s">
        <v>29</v>
      </c>
      <c r="B39" s="223" t="s">
        <v>162</v>
      </c>
      <c r="C39" s="131" t="s">
        <v>184</v>
      </c>
      <c r="D39" s="200" t="s">
        <v>171</v>
      </c>
      <c r="E39" s="200" t="s">
        <v>147</v>
      </c>
      <c r="F39" s="208" t="s">
        <v>148</v>
      </c>
      <c r="G39" s="199" t="s">
        <v>166</v>
      </c>
      <c r="H39" s="200" t="s">
        <v>145</v>
      </c>
      <c r="I39" s="127" t="str">
        <f t="shared" si="21"/>
        <v>U Space</v>
      </c>
      <c r="J39" s="228">
        <v>8</v>
      </c>
      <c r="K39" s="228">
        <v>5</v>
      </c>
      <c r="L39" s="202">
        <f t="shared" si="22"/>
        <v>3</v>
      </c>
      <c r="M39" s="127">
        <f t="shared" si="23"/>
        <v>8</v>
      </c>
      <c r="N39" s="127">
        <f t="shared" si="24"/>
        <v>0</v>
      </c>
      <c r="O39" s="220">
        <f>550000/12</f>
        <v>45833.333333333336</v>
      </c>
      <c r="P39" s="204" t="str">
        <f t="shared" si="25"/>
        <v>Rated</v>
      </c>
      <c r="Q39" s="200" t="s">
        <v>6</v>
      </c>
      <c r="R39" s="228">
        <v>1.75</v>
      </c>
      <c r="S39" s="228">
        <v>1.6</v>
      </c>
      <c r="T39" s="195">
        <f t="shared" si="26"/>
        <v>0.14999999999999991</v>
      </c>
      <c r="U39" s="196">
        <v>0</v>
      </c>
      <c r="V39" s="196">
        <f t="shared" si="27"/>
        <v>7.4999999999999956E-2</v>
      </c>
      <c r="W39" s="196">
        <f t="shared" si="28"/>
        <v>0.875</v>
      </c>
      <c r="X39" s="196">
        <f t="shared" si="29"/>
        <v>1.6</v>
      </c>
      <c r="Y39" s="196">
        <f t="shared" si="30"/>
        <v>1.6</v>
      </c>
      <c r="Z39" s="196">
        <f t="shared" si="31"/>
        <v>-0.14999999999999991</v>
      </c>
      <c r="AA39" s="220">
        <f>90000/12</f>
        <v>7500</v>
      </c>
      <c r="AB39" s="207" t="s">
        <v>147</v>
      </c>
      <c r="AC39" s="196">
        <v>1.8</v>
      </c>
      <c r="AD39" s="196"/>
      <c r="AE39" s="196"/>
      <c r="AF39" s="196"/>
      <c r="AG39" s="209" t="s">
        <v>137</v>
      </c>
      <c r="AH39" s="127" t="s">
        <v>138</v>
      </c>
      <c r="AI39" s="127">
        <v>0</v>
      </c>
      <c r="AJ39" s="127">
        <v>0</v>
      </c>
      <c r="AK39" s="127">
        <f t="shared" si="32"/>
        <v>0</v>
      </c>
      <c r="AL39" s="127">
        <f t="shared" si="33"/>
        <v>0</v>
      </c>
      <c r="AM39" s="127">
        <v>0</v>
      </c>
      <c r="AN39" s="210"/>
      <c r="AO39" s="127"/>
      <c r="AP39" s="127"/>
      <c r="AQ39" s="127"/>
      <c r="AR39" s="127"/>
      <c r="AS39" s="127"/>
      <c r="AT39" s="127"/>
      <c r="AU39" s="127"/>
      <c r="AV39" s="127"/>
      <c r="AW39" s="127"/>
      <c r="AX39" s="127"/>
      <c r="AY39" s="127"/>
      <c r="AZ39" s="127"/>
      <c r="BA39" s="127"/>
      <c r="BB39" s="127"/>
    </row>
    <row r="40" spans="1:54" ht="12" x14ac:dyDescent="0.25">
      <c r="A40" s="223" t="s">
        <v>29</v>
      </c>
      <c r="B40" s="223" t="s">
        <v>162</v>
      </c>
      <c r="C40" s="133" t="s">
        <v>185</v>
      </c>
      <c r="D40" s="200" t="s">
        <v>171</v>
      </c>
      <c r="E40" s="200" t="s">
        <v>147</v>
      </c>
      <c r="F40" s="208" t="s">
        <v>148</v>
      </c>
      <c r="G40" s="199" t="s">
        <v>133</v>
      </c>
      <c r="H40" s="200" t="s">
        <v>145</v>
      </c>
      <c r="I40" s="127" t="str">
        <f t="shared" si="21"/>
        <v>No of Racks</v>
      </c>
      <c r="J40" s="228">
        <v>4</v>
      </c>
      <c r="K40" s="228">
        <v>4</v>
      </c>
      <c r="L40" s="202">
        <f t="shared" si="22"/>
        <v>0</v>
      </c>
      <c r="M40" s="127">
        <f t="shared" si="23"/>
        <v>4</v>
      </c>
      <c r="N40" s="127">
        <f t="shared" si="24"/>
        <v>0</v>
      </c>
      <c r="O40" s="220">
        <f>600000/12</f>
        <v>50000</v>
      </c>
      <c r="P40" s="204" t="str">
        <f t="shared" si="25"/>
        <v>Rated</v>
      </c>
      <c r="Q40" s="200" t="s">
        <v>6</v>
      </c>
      <c r="R40" s="228">
        <v>33</v>
      </c>
      <c r="S40" s="228">
        <v>28.03</v>
      </c>
      <c r="T40" s="195">
        <f t="shared" si="26"/>
        <v>4.9699999999999989</v>
      </c>
      <c r="U40" s="196">
        <v>0</v>
      </c>
      <c r="V40" s="196">
        <f t="shared" si="27"/>
        <v>2.4849999999999994</v>
      </c>
      <c r="W40" s="196">
        <f t="shared" si="28"/>
        <v>16.5</v>
      </c>
      <c r="X40" s="196">
        <f t="shared" si="29"/>
        <v>28.03</v>
      </c>
      <c r="Y40" s="196">
        <f t="shared" si="30"/>
        <v>28.03</v>
      </c>
      <c r="Z40" s="196">
        <f t="shared" si="31"/>
        <v>-4.9699999999999989</v>
      </c>
      <c r="AA40" s="220">
        <f>90000/12</f>
        <v>7500</v>
      </c>
      <c r="AB40" s="207" t="s">
        <v>147</v>
      </c>
      <c r="AC40" s="196">
        <v>1.8</v>
      </c>
      <c r="AD40" s="127"/>
      <c r="AE40" s="197"/>
      <c r="AF40" s="197"/>
      <c r="AG40" s="209" t="s">
        <v>137</v>
      </c>
      <c r="AH40" s="127" t="s">
        <v>138</v>
      </c>
      <c r="AI40" s="127">
        <v>0</v>
      </c>
      <c r="AJ40" s="127">
        <v>0</v>
      </c>
      <c r="AK40" s="127">
        <f t="shared" si="32"/>
        <v>0</v>
      </c>
      <c r="AL40" s="127">
        <f t="shared" si="33"/>
        <v>0</v>
      </c>
      <c r="AM40" s="127">
        <v>0</v>
      </c>
      <c r="AN40" s="127"/>
      <c r="AO40" s="127"/>
      <c r="AP40" s="127"/>
      <c r="AQ40" s="127"/>
      <c r="AR40" s="127"/>
      <c r="AS40" s="127"/>
      <c r="AT40" s="127"/>
      <c r="AU40" s="127"/>
      <c r="AV40" s="127"/>
      <c r="AW40" s="127"/>
      <c r="AX40" s="127"/>
      <c r="AY40" s="127"/>
      <c r="AZ40" s="127"/>
      <c r="BA40" s="127"/>
      <c r="BB40" s="127"/>
    </row>
    <row r="41" spans="1:54" ht="12" x14ac:dyDescent="0.3">
      <c r="A41" s="223" t="s">
        <v>29</v>
      </c>
      <c r="B41" s="223" t="s">
        <v>162</v>
      </c>
      <c r="C41" s="131" t="s">
        <v>186</v>
      </c>
      <c r="D41" s="200" t="s">
        <v>171</v>
      </c>
      <c r="E41" s="200" t="s">
        <v>147</v>
      </c>
      <c r="F41" s="208" t="s">
        <v>148</v>
      </c>
      <c r="G41" s="199" t="s">
        <v>133</v>
      </c>
      <c r="H41" s="200" t="s">
        <v>145</v>
      </c>
      <c r="I41" s="127" t="str">
        <f t="shared" si="21"/>
        <v>No of Racks</v>
      </c>
      <c r="J41" s="228">
        <v>1</v>
      </c>
      <c r="K41" s="228">
        <v>1</v>
      </c>
      <c r="L41" s="202">
        <f t="shared" si="22"/>
        <v>0</v>
      </c>
      <c r="M41" s="127">
        <f t="shared" si="23"/>
        <v>1</v>
      </c>
      <c r="N41" s="127">
        <f t="shared" si="24"/>
        <v>0</v>
      </c>
      <c r="O41" s="220">
        <f>267076/12</f>
        <v>22256.333333333332</v>
      </c>
      <c r="P41" s="204" t="str">
        <f t="shared" si="25"/>
        <v>Rated</v>
      </c>
      <c r="Q41" s="200" t="s">
        <v>6</v>
      </c>
      <c r="R41" s="228">
        <v>9</v>
      </c>
      <c r="S41" s="228">
        <v>2.9</v>
      </c>
      <c r="T41" s="195">
        <f t="shared" si="26"/>
        <v>6.1</v>
      </c>
      <c r="U41" s="196">
        <v>0</v>
      </c>
      <c r="V41" s="196">
        <f t="shared" si="27"/>
        <v>3.05</v>
      </c>
      <c r="W41" s="196">
        <f t="shared" si="28"/>
        <v>4.5</v>
      </c>
      <c r="X41" s="196">
        <f t="shared" si="29"/>
        <v>2.9</v>
      </c>
      <c r="Y41" s="196">
        <f t="shared" si="30"/>
        <v>2.9</v>
      </c>
      <c r="Z41" s="196">
        <f t="shared" si="31"/>
        <v>-6.1</v>
      </c>
      <c r="AA41" s="220">
        <f>90000/12</f>
        <v>7500</v>
      </c>
      <c r="AB41" s="207" t="s">
        <v>147</v>
      </c>
      <c r="AC41" s="196">
        <v>1.8</v>
      </c>
      <c r="AD41" s="127"/>
      <c r="AE41" s="197"/>
      <c r="AF41" s="197"/>
      <c r="AG41" s="209" t="s">
        <v>137</v>
      </c>
      <c r="AH41" s="127" t="s">
        <v>138</v>
      </c>
      <c r="AI41" s="127">
        <v>0</v>
      </c>
      <c r="AJ41" s="127">
        <v>0</v>
      </c>
      <c r="AK41" s="127">
        <f t="shared" si="32"/>
        <v>0</v>
      </c>
      <c r="AL41" s="127">
        <f t="shared" si="33"/>
        <v>0</v>
      </c>
      <c r="AM41" s="127">
        <v>0</v>
      </c>
      <c r="AN41" s="127"/>
      <c r="AO41" s="127"/>
      <c r="AP41" s="127"/>
      <c r="AQ41" s="127"/>
      <c r="AR41" s="127"/>
      <c r="AS41" s="127"/>
      <c r="AT41" s="127"/>
      <c r="AU41" s="127"/>
      <c r="AV41" s="127"/>
      <c r="AW41" s="127"/>
      <c r="AX41" s="127"/>
      <c r="AY41" s="127"/>
      <c r="AZ41" s="127"/>
      <c r="BA41" s="127"/>
      <c r="BB41" s="127"/>
    </row>
    <row r="42" spans="1:54" ht="12" x14ac:dyDescent="0.25">
      <c r="A42" s="223" t="s">
        <v>29</v>
      </c>
      <c r="B42" s="223" t="s">
        <v>162</v>
      </c>
      <c r="C42" s="133" t="s">
        <v>187</v>
      </c>
      <c r="D42" s="200" t="s">
        <v>171</v>
      </c>
      <c r="E42" s="200" t="s">
        <v>147</v>
      </c>
      <c r="F42" s="208" t="s">
        <v>148</v>
      </c>
      <c r="G42" s="199" t="s">
        <v>133</v>
      </c>
      <c r="H42" s="200" t="s">
        <v>145</v>
      </c>
      <c r="I42" s="127" t="str">
        <f t="shared" si="21"/>
        <v>No of Racks</v>
      </c>
      <c r="J42" s="228">
        <v>3</v>
      </c>
      <c r="K42" s="228">
        <v>3</v>
      </c>
      <c r="L42" s="202">
        <f t="shared" si="22"/>
        <v>0</v>
      </c>
      <c r="M42" s="127">
        <f t="shared" si="23"/>
        <v>3</v>
      </c>
      <c r="N42" s="127">
        <f t="shared" si="24"/>
        <v>0</v>
      </c>
      <c r="O42" s="220">
        <f>420800/12</f>
        <v>35066.666666666664</v>
      </c>
      <c r="P42" s="204" t="str">
        <f t="shared" si="25"/>
        <v>Rated</v>
      </c>
      <c r="Q42" s="200" t="s">
        <v>6</v>
      </c>
      <c r="R42" s="228">
        <v>37.5</v>
      </c>
      <c r="S42" s="228">
        <v>9.82</v>
      </c>
      <c r="T42" s="195">
        <f t="shared" si="26"/>
        <v>27.68</v>
      </c>
      <c r="U42" s="196">
        <v>0</v>
      </c>
      <c r="V42" s="196">
        <f t="shared" si="27"/>
        <v>13.84</v>
      </c>
      <c r="W42" s="196">
        <f t="shared" si="28"/>
        <v>18.75</v>
      </c>
      <c r="X42" s="196">
        <f t="shared" si="29"/>
        <v>9.82</v>
      </c>
      <c r="Y42" s="196">
        <f t="shared" si="30"/>
        <v>9.82</v>
      </c>
      <c r="Z42" s="196">
        <f t="shared" si="31"/>
        <v>-27.68</v>
      </c>
      <c r="AA42" s="220">
        <f>90000/12</f>
        <v>7500</v>
      </c>
      <c r="AB42" s="207" t="s">
        <v>147</v>
      </c>
      <c r="AC42" s="196">
        <v>1.8</v>
      </c>
      <c r="AD42" s="127"/>
      <c r="AE42" s="197"/>
      <c r="AF42" s="197"/>
      <c r="AG42" s="209" t="s">
        <v>137</v>
      </c>
      <c r="AH42" s="127" t="s">
        <v>138</v>
      </c>
      <c r="AI42" s="127">
        <v>0</v>
      </c>
      <c r="AJ42" s="127">
        <v>0</v>
      </c>
      <c r="AK42" s="127">
        <f t="shared" si="32"/>
        <v>0</v>
      </c>
      <c r="AL42" s="127">
        <f t="shared" si="33"/>
        <v>0</v>
      </c>
      <c r="AM42" s="127">
        <v>0</v>
      </c>
      <c r="AN42" s="127"/>
      <c r="AO42" s="127"/>
      <c r="AP42" s="127"/>
      <c r="AQ42" s="127"/>
      <c r="AR42" s="127"/>
      <c r="AS42" s="127"/>
      <c r="AT42" s="127"/>
      <c r="AU42" s="127"/>
      <c r="AV42" s="127"/>
      <c r="AW42" s="127"/>
      <c r="AX42" s="127"/>
      <c r="AY42" s="127"/>
      <c r="AZ42" s="127"/>
      <c r="BA42" s="127"/>
      <c r="BB42" s="127"/>
    </row>
    <row r="43" spans="1:54" ht="12" x14ac:dyDescent="0.25">
      <c r="A43" s="223" t="s">
        <v>29</v>
      </c>
      <c r="B43" s="223" t="s">
        <v>162</v>
      </c>
      <c r="C43" s="133" t="s">
        <v>188</v>
      </c>
      <c r="D43" s="200" t="s">
        <v>171</v>
      </c>
      <c r="E43" s="200" t="s">
        <v>147</v>
      </c>
      <c r="F43" s="208" t="s">
        <v>148</v>
      </c>
      <c r="G43" s="199" t="s">
        <v>133</v>
      </c>
      <c r="H43" s="200" t="s">
        <v>145</v>
      </c>
      <c r="I43" s="127" t="str">
        <f t="shared" si="21"/>
        <v>No of Racks</v>
      </c>
      <c r="J43" s="228">
        <v>1</v>
      </c>
      <c r="K43" s="228">
        <v>1</v>
      </c>
      <c r="L43" s="202">
        <f t="shared" si="22"/>
        <v>0</v>
      </c>
      <c r="M43" s="127">
        <f t="shared" si="23"/>
        <v>1</v>
      </c>
      <c r="N43" s="127">
        <f t="shared" si="24"/>
        <v>0</v>
      </c>
      <c r="O43" s="220">
        <f>280000/4/12</f>
        <v>5833.333333333333</v>
      </c>
      <c r="P43" s="204" t="str">
        <f t="shared" si="25"/>
        <v>Rated</v>
      </c>
      <c r="Q43" s="200" t="s">
        <v>6</v>
      </c>
      <c r="R43" s="228">
        <v>3.5</v>
      </c>
      <c r="S43" s="228">
        <v>2.84</v>
      </c>
      <c r="T43" s="195">
        <f t="shared" si="26"/>
        <v>0.66000000000000014</v>
      </c>
      <c r="U43" s="196">
        <v>0</v>
      </c>
      <c r="V43" s="196">
        <f t="shared" si="27"/>
        <v>0.33000000000000007</v>
      </c>
      <c r="W43" s="196">
        <f t="shared" si="28"/>
        <v>1.75</v>
      </c>
      <c r="X43" s="196">
        <f t="shared" si="29"/>
        <v>2.84</v>
      </c>
      <c r="Y43" s="196">
        <f t="shared" si="30"/>
        <v>2.84</v>
      </c>
      <c r="Z43" s="196">
        <f t="shared" si="31"/>
        <v>-0.66000000000000014</v>
      </c>
      <c r="AA43" s="220">
        <f>90000/12</f>
        <v>7500</v>
      </c>
      <c r="AB43" s="207" t="s">
        <v>147</v>
      </c>
      <c r="AC43" s="196">
        <v>1.8</v>
      </c>
      <c r="AD43" s="127"/>
      <c r="AE43" s="197"/>
      <c r="AF43" s="197"/>
      <c r="AG43" s="209" t="s">
        <v>137</v>
      </c>
      <c r="AH43" s="127" t="s">
        <v>138</v>
      </c>
      <c r="AI43" s="127">
        <v>0</v>
      </c>
      <c r="AJ43" s="127">
        <v>0</v>
      </c>
      <c r="AK43" s="127">
        <f t="shared" si="32"/>
        <v>0</v>
      </c>
      <c r="AL43" s="127">
        <f t="shared" si="33"/>
        <v>0</v>
      </c>
      <c r="AM43" s="127">
        <v>0</v>
      </c>
      <c r="AN43" s="127"/>
      <c r="AO43" s="127"/>
      <c r="AP43" s="127"/>
      <c r="AQ43" s="127"/>
      <c r="AR43" s="127"/>
      <c r="AS43" s="127"/>
      <c r="AT43" s="127"/>
      <c r="AU43" s="127"/>
      <c r="AV43" s="127"/>
      <c r="AW43" s="127"/>
      <c r="AX43" s="127"/>
      <c r="AY43" s="127"/>
      <c r="AZ43" s="127"/>
      <c r="BA43" s="127"/>
      <c r="BB43" s="127"/>
    </row>
    <row r="44" spans="1:54" ht="12" x14ac:dyDescent="0.25">
      <c r="A44" s="223" t="s">
        <v>29</v>
      </c>
      <c r="B44" s="223" t="s">
        <v>162</v>
      </c>
      <c r="C44" s="133" t="s">
        <v>189</v>
      </c>
      <c r="D44" s="200" t="s">
        <v>171</v>
      </c>
      <c r="E44" s="200" t="s">
        <v>147</v>
      </c>
      <c r="F44" s="208" t="s">
        <v>148</v>
      </c>
      <c r="G44" s="199" t="s">
        <v>133</v>
      </c>
      <c r="H44" s="200" t="s">
        <v>145</v>
      </c>
      <c r="I44" s="127" t="str">
        <f t="shared" si="21"/>
        <v>No of Racks</v>
      </c>
      <c r="J44" s="228">
        <v>1</v>
      </c>
      <c r="K44" s="228">
        <v>1</v>
      </c>
      <c r="L44" s="202">
        <f t="shared" si="22"/>
        <v>0</v>
      </c>
      <c r="M44" s="127">
        <f t="shared" si="23"/>
        <v>1</v>
      </c>
      <c r="N44" s="127">
        <f t="shared" si="24"/>
        <v>0</v>
      </c>
      <c r="O44" s="220">
        <v>0</v>
      </c>
      <c r="P44" s="204" t="str">
        <f t="shared" si="25"/>
        <v>Rated</v>
      </c>
      <c r="Q44" s="200" t="s">
        <v>6</v>
      </c>
      <c r="R44" s="228">
        <v>6</v>
      </c>
      <c r="S44" s="228">
        <v>8.02</v>
      </c>
      <c r="T44" s="195">
        <f t="shared" si="26"/>
        <v>-2.0199999999999996</v>
      </c>
      <c r="U44" s="196">
        <v>0</v>
      </c>
      <c r="V44" s="196">
        <f t="shared" si="27"/>
        <v>0</v>
      </c>
      <c r="W44" s="196">
        <f t="shared" si="28"/>
        <v>3</v>
      </c>
      <c r="X44" s="196">
        <f t="shared" si="29"/>
        <v>8.02</v>
      </c>
      <c r="Y44" s="196">
        <f t="shared" si="30"/>
        <v>8.02</v>
      </c>
      <c r="Z44" s="196">
        <f t="shared" si="31"/>
        <v>2.0199999999999996</v>
      </c>
      <c r="AA44" s="220">
        <v>0</v>
      </c>
      <c r="AB44" s="207" t="s">
        <v>147</v>
      </c>
      <c r="AC44" s="196">
        <v>1.8</v>
      </c>
      <c r="AD44" s="127"/>
      <c r="AE44" s="197"/>
      <c r="AF44" s="197"/>
      <c r="AG44" s="209" t="s">
        <v>137</v>
      </c>
      <c r="AH44" s="127" t="s">
        <v>138</v>
      </c>
      <c r="AI44" s="127">
        <v>0</v>
      </c>
      <c r="AJ44" s="127">
        <v>0</v>
      </c>
      <c r="AK44" s="127">
        <f t="shared" si="32"/>
        <v>0</v>
      </c>
      <c r="AL44" s="127">
        <f t="shared" si="33"/>
        <v>0</v>
      </c>
      <c r="AM44" s="127">
        <v>0</v>
      </c>
      <c r="AN44" s="127"/>
      <c r="AO44" s="127"/>
      <c r="AP44" s="127"/>
      <c r="AQ44" s="127"/>
      <c r="AR44" s="127"/>
      <c r="AS44" s="127"/>
      <c r="AT44" s="127"/>
      <c r="AU44" s="127"/>
      <c r="AV44" s="127"/>
      <c r="AW44" s="127"/>
      <c r="AX44" s="127"/>
      <c r="AY44" s="127"/>
      <c r="AZ44" s="127"/>
      <c r="BA44" s="127"/>
      <c r="BB44" s="127"/>
    </row>
    <row r="45" spans="1:54" ht="12" x14ac:dyDescent="0.25">
      <c r="A45" s="223" t="s">
        <v>29</v>
      </c>
      <c r="B45" s="223" t="s">
        <v>162</v>
      </c>
      <c r="C45" s="133" t="s">
        <v>190</v>
      </c>
      <c r="D45" s="200" t="s">
        <v>171</v>
      </c>
      <c r="E45" s="200" t="s">
        <v>147</v>
      </c>
      <c r="F45" s="208" t="s">
        <v>148</v>
      </c>
      <c r="G45" s="199" t="s">
        <v>133</v>
      </c>
      <c r="H45" s="200" t="s">
        <v>145</v>
      </c>
      <c r="I45" s="127" t="str">
        <f t="shared" si="21"/>
        <v>No of Racks</v>
      </c>
      <c r="J45" s="228">
        <v>1</v>
      </c>
      <c r="K45" s="228">
        <v>1</v>
      </c>
      <c r="L45" s="202">
        <f t="shared" si="22"/>
        <v>0</v>
      </c>
      <c r="M45" s="127">
        <f t="shared" si="23"/>
        <v>1</v>
      </c>
      <c r="N45" s="127">
        <f t="shared" si="24"/>
        <v>0</v>
      </c>
      <c r="O45" s="220">
        <f>400000/12</f>
        <v>33333.333333333336</v>
      </c>
      <c r="P45" s="204" t="str">
        <f t="shared" si="25"/>
        <v>Rated</v>
      </c>
      <c r="Q45" s="200" t="s">
        <v>6</v>
      </c>
      <c r="R45" s="228">
        <v>3</v>
      </c>
      <c r="S45" s="228">
        <v>3.97</v>
      </c>
      <c r="T45" s="195">
        <f t="shared" si="26"/>
        <v>-0.9700000000000002</v>
      </c>
      <c r="U45" s="196">
        <v>0</v>
      </c>
      <c r="V45" s="196">
        <f t="shared" si="27"/>
        <v>0</v>
      </c>
      <c r="W45" s="196">
        <f t="shared" si="28"/>
        <v>1.5</v>
      </c>
      <c r="X45" s="196">
        <f t="shared" si="29"/>
        <v>3.97</v>
      </c>
      <c r="Y45" s="196">
        <f t="shared" si="30"/>
        <v>3.97</v>
      </c>
      <c r="Z45" s="196">
        <f t="shared" si="31"/>
        <v>0.9700000000000002</v>
      </c>
      <c r="AA45" s="220">
        <v>0</v>
      </c>
      <c r="AB45" s="207" t="s">
        <v>147</v>
      </c>
      <c r="AC45" s="196">
        <v>1.8</v>
      </c>
      <c r="AD45" s="127"/>
      <c r="AE45" s="197"/>
      <c r="AF45" s="197"/>
      <c r="AG45" s="209" t="s">
        <v>137</v>
      </c>
      <c r="AH45" s="127" t="s">
        <v>138</v>
      </c>
      <c r="AI45" s="127">
        <v>0</v>
      </c>
      <c r="AJ45" s="127">
        <v>0</v>
      </c>
      <c r="AK45" s="127">
        <f t="shared" si="32"/>
        <v>0</v>
      </c>
      <c r="AL45" s="127">
        <f t="shared" si="33"/>
        <v>0</v>
      </c>
      <c r="AM45" s="127">
        <v>0</v>
      </c>
      <c r="AN45" s="127"/>
      <c r="AO45" s="127"/>
      <c r="AP45" s="127"/>
      <c r="AQ45" s="127"/>
      <c r="AR45" s="127"/>
      <c r="AS45" s="127"/>
      <c r="AT45" s="127"/>
      <c r="AU45" s="127"/>
      <c r="AV45" s="127"/>
      <c r="AW45" s="127"/>
      <c r="AX45" s="127"/>
      <c r="AY45" s="127"/>
      <c r="AZ45" s="127"/>
      <c r="BA45" s="127"/>
      <c r="BB45" s="127"/>
    </row>
    <row r="46" spans="1:54" ht="12" x14ac:dyDescent="0.25">
      <c r="A46" s="223" t="s">
        <v>29</v>
      </c>
      <c r="B46" s="223" t="s">
        <v>162</v>
      </c>
      <c r="C46" s="133" t="s">
        <v>191</v>
      </c>
      <c r="D46" s="200" t="s">
        <v>171</v>
      </c>
      <c r="E46" s="200" t="s">
        <v>147</v>
      </c>
      <c r="F46" s="208" t="s">
        <v>148</v>
      </c>
      <c r="G46" s="199" t="s">
        <v>133</v>
      </c>
      <c r="H46" s="200" t="s">
        <v>145</v>
      </c>
      <c r="I46" s="127" t="str">
        <f t="shared" si="21"/>
        <v>No of Racks</v>
      </c>
      <c r="J46" s="228">
        <v>2</v>
      </c>
      <c r="K46" s="228">
        <v>2</v>
      </c>
      <c r="L46" s="202">
        <f t="shared" si="22"/>
        <v>0</v>
      </c>
      <c r="M46" s="127">
        <f t="shared" si="23"/>
        <v>2</v>
      </c>
      <c r="N46" s="127">
        <f t="shared" si="24"/>
        <v>0</v>
      </c>
      <c r="O46" s="220">
        <f>550000/12</f>
        <v>45833.333333333336</v>
      </c>
      <c r="P46" s="204" t="str">
        <f t="shared" si="25"/>
        <v>Rated</v>
      </c>
      <c r="Q46" s="200" t="s">
        <v>6</v>
      </c>
      <c r="R46" s="228">
        <v>9</v>
      </c>
      <c r="S46" s="228">
        <v>4.91</v>
      </c>
      <c r="T46" s="195">
        <f t="shared" si="26"/>
        <v>4.09</v>
      </c>
      <c r="U46" s="196">
        <v>0</v>
      </c>
      <c r="V46" s="196">
        <f t="shared" si="27"/>
        <v>2.0449999999999999</v>
      </c>
      <c r="W46" s="196">
        <f t="shared" si="28"/>
        <v>4.5</v>
      </c>
      <c r="X46" s="196">
        <f t="shared" si="29"/>
        <v>4.91</v>
      </c>
      <c r="Y46" s="196">
        <f t="shared" si="30"/>
        <v>4.91</v>
      </c>
      <c r="Z46" s="196">
        <f t="shared" si="31"/>
        <v>-4.09</v>
      </c>
      <c r="AA46" s="220">
        <f>90000/12</f>
        <v>7500</v>
      </c>
      <c r="AB46" s="207" t="s">
        <v>147</v>
      </c>
      <c r="AC46" s="196">
        <v>1.8</v>
      </c>
      <c r="AD46" s="127"/>
      <c r="AE46" s="197"/>
      <c r="AF46" s="197"/>
      <c r="AG46" s="209" t="s">
        <v>137</v>
      </c>
      <c r="AH46" s="127" t="s">
        <v>138</v>
      </c>
      <c r="AI46" s="127">
        <v>0</v>
      </c>
      <c r="AJ46" s="127">
        <v>0</v>
      </c>
      <c r="AK46" s="127">
        <f t="shared" si="32"/>
        <v>0</v>
      </c>
      <c r="AL46" s="127">
        <f t="shared" si="33"/>
        <v>0</v>
      </c>
      <c r="AM46" s="127">
        <v>0</v>
      </c>
      <c r="AN46" s="127"/>
      <c r="AO46" s="127"/>
      <c r="AP46" s="127"/>
      <c r="AQ46" s="127"/>
      <c r="AR46" s="127"/>
      <c r="AS46" s="127"/>
      <c r="AT46" s="127"/>
      <c r="AU46" s="127"/>
      <c r="AV46" s="127"/>
      <c r="AW46" s="127"/>
      <c r="AX46" s="127"/>
      <c r="AY46" s="127"/>
      <c r="AZ46" s="127"/>
      <c r="BA46" s="127"/>
      <c r="BB46" s="127"/>
    </row>
    <row r="47" spans="1:54" ht="12" x14ac:dyDescent="0.3">
      <c r="A47" s="223" t="s">
        <v>29</v>
      </c>
      <c r="B47" s="223" t="s">
        <v>162</v>
      </c>
      <c r="C47" s="134" t="s">
        <v>192</v>
      </c>
      <c r="D47" s="200" t="s">
        <v>171</v>
      </c>
      <c r="E47" s="200" t="s">
        <v>147</v>
      </c>
      <c r="F47" s="208" t="s">
        <v>148</v>
      </c>
      <c r="G47" s="130" t="s">
        <v>133</v>
      </c>
      <c r="H47" s="200" t="s">
        <v>145</v>
      </c>
      <c r="I47" s="127" t="str">
        <f t="shared" si="21"/>
        <v>No of Racks</v>
      </c>
      <c r="J47" s="130">
        <v>1</v>
      </c>
      <c r="K47" s="130">
        <v>1</v>
      </c>
      <c r="L47" s="202">
        <f t="shared" si="22"/>
        <v>0</v>
      </c>
      <c r="M47" s="127">
        <f t="shared" si="23"/>
        <v>1</v>
      </c>
      <c r="N47" s="127">
        <f t="shared" si="24"/>
        <v>0</v>
      </c>
      <c r="O47" s="220">
        <f>480000/12</f>
        <v>40000</v>
      </c>
      <c r="P47" s="204" t="str">
        <f t="shared" si="25"/>
        <v>Rated</v>
      </c>
      <c r="Q47" s="200" t="s">
        <v>6</v>
      </c>
      <c r="R47" s="252">
        <v>3</v>
      </c>
      <c r="S47" s="228">
        <v>1.64</v>
      </c>
      <c r="T47" s="195">
        <f t="shared" si="26"/>
        <v>1.36</v>
      </c>
      <c r="U47" s="196">
        <v>0</v>
      </c>
      <c r="V47" s="196">
        <f t="shared" si="27"/>
        <v>0.68</v>
      </c>
      <c r="W47" s="196">
        <f t="shared" si="28"/>
        <v>1.5</v>
      </c>
      <c r="X47" s="196">
        <f t="shared" si="29"/>
        <v>1.64</v>
      </c>
      <c r="Y47" s="196">
        <f t="shared" si="30"/>
        <v>1.64</v>
      </c>
      <c r="Z47" s="196">
        <f t="shared" si="31"/>
        <v>-1.36</v>
      </c>
      <c r="AA47" s="220">
        <f>98000/12</f>
        <v>8166.666666666667</v>
      </c>
      <c r="AB47" s="207" t="s">
        <v>147</v>
      </c>
      <c r="AC47" s="196">
        <v>1.8</v>
      </c>
      <c r="AD47" s="127"/>
      <c r="AE47" s="197"/>
      <c r="AF47" s="197"/>
      <c r="AG47" s="209" t="s">
        <v>137</v>
      </c>
      <c r="AH47" s="127" t="s">
        <v>138</v>
      </c>
      <c r="AI47" s="127">
        <v>0</v>
      </c>
      <c r="AJ47" s="127">
        <v>0</v>
      </c>
      <c r="AK47" s="127">
        <f t="shared" si="32"/>
        <v>0</v>
      </c>
      <c r="AL47" s="127">
        <f t="shared" si="33"/>
        <v>0</v>
      </c>
      <c r="AM47" s="127">
        <v>0</v>
      </c>
      <c r="AN47" s="127"/>
      <c r="AO47" s="127"/>
      <c r="AP47" s="127"/>
      <c r="AQ47" s="127"/>
      <c r="AR47" s="127"/>
      <c r="AS47" s="127"/>
      <c r="AT47" s="127"/>
      <c r="AU47" s="127"/>
      <c r="AV47" s="127"/>
      <c r="AW47" s="127"/>
      <c r="AX47" s="127"/>
      <c r="AY47" s="127"/>
      <c r="AZ47" s="127"/>
      <c r="BA47" s="127"/>
      <c r="BB47" s="127"/>
    </row>
    <row r="48" spans="1:54" ht="12" x14ac:dyDescent="0.3">
      <c r="A48" s="223" t="s">
        <v>29</v>
      </c>
      <c r="B48" s="223" t="s">
        <v>162</v>
      </c>
      <c r="C48" s="134" t="s">
        <v>193</v>
      </c>
      <c r="D48" s="200" t="s">
        <v>171</v>
      </c>
      <c r="E48" s="200" t="s">
        <v>147</v>
      </c>
      <c r="F48" s="208" t="s">
        <v>148</v>
      </c>
      <c r="G48" s="130" t="s">
        <v>133</v>
      </c>
      <c r="H48" s="200" t="s">
        <v>145</v>
      </c>
      <c r="I48" s="127" t="str">
        <f t="shared" si="21"/>
        <v>No of Racks</v>
      </c>
      <c r="J48" s="130">
        <v>4</v>
      </c>
      <c r="K48" s="130">
        <v>3</v>
      </c>
      <c r="L48" s="202">
        <f t="shared" si="22"/>
        <v>1</v>
      </c>
      <c r="M48" s="127">
        <f t="shared" si="23"/>
        <v>4</v>
      </c>
      <c r="N48" s="127">
        <f t="shared" si="24"/>
        <v>0</v>
      </c>
      <c r="O48" s="220">
        <f>295000/12/21</f>
        <v>1170.6349206349205</v>
      </c>
      <c r="P48" s="204" t="str">
        <f t="shared" si="25"/>
        <v>Rated</v>
      </c>
      <c r="Q48" s="200" t="s">
        <v>6</v>
      </c>
      <c r="R48" s="252">
        <v>1</v>
      </c>
      <c r="S48" s="228">
        <v>0.44</v>
      </c>
      <c r="T48" s="195">
        <f t="shared" si="26"/>
        <v>0.56000000000000005</v>
      </c>
      <c r="U48" s="196">
        <v>0</v>
      </c>
      <c r="V48" s="196">
        <f t="shared" si="27"/>
        <v>0.28000000000000003</v>
      </c>
      <c r="W48" s="196">
        <f t="shared" si="28"/>
        <v>0.5</v>
      </c>
      <c r="X48" s="196">
        <f t="shared" si="29"/>
        <v>0.44</v>
      </c>
      <c r="Y48" s="196">
        <f t="shared" si="30"/>
        <v>0.44</v>
      </c>
      <c r="Z48" s="196">
        <f t="shared" si="31"/>
        <v>-0.56000000000000005</v>
      </c>
      <c r="AA48" s="220"/>
      <c r="AB48" s="207" t="s">
        <v>147</v>
      </c>
      <c r="AC48" s="196">
        <v>1.8</v>
      </c>
      <c r="AD48" s="127"/>
      <c r="AE48" s="197"/>
      <c r="AF48" s="197"/>
      <c r="AG48" s="209" t="s">
        <v>137</v>
      </c>
      <c r="AH48" s="127" t="s">
        <v>138</v>
      </c>
      <c r="AI48" s="127">
        <v>0</v>
      </c>
      <c r="AJ48" s="127">
        <v>0</v>
      </c>
      <c r="AK48" s="127">
        <f t="shared" si="32"/>
        <v>0</v>
      </c>
      <c r="AL48" s="127">
        <f t="shared" si="33"/>
        <v>0</v>
      </c>
      <c r="AM48" s="127">
        <v>0</v>
      </c>
      <c r="AN48" s="127"/>
      <c r="AO48" s="127"/>
      <c r="AP48" s="127"/>
      <c r="AQ48" s="127"/>
      <c r="AR48" s="127"/>
      <c r="AS48" s="127"/>
      <c r="AT48" s="127"/>
      <c r="AU48" s="127"/>
      <c r="AV48" s="127"/>
      <c r="AW48" s="127"/>
      <c r="AX48" s="127"/>
      <c r="AY48" s="127"/>
      <c r="AZ48" s="127"/>
      <c r="BA48" s="127"/>
      <c r="BB48" s="127"/>
    </row>
    <row r="49" spans="1:54" ht="12" x14ac:dyDescent="0.3">
      <c r="A49" s="223" t="s">
        <v>29</v>
      </c>
      <c r="B49" s="223" t="s">
        <v>162</v>
      </c>
      <c r="C49" s="134" t="s">
        <v>194</v>
      </c>
      <c r="D49" s="200" t="s">
        <v>171</v>
      </c>
      <c r="E49" s="200" t="s">
        <v>147</v>
      </c>
      <c r="F49" s="208" t="s">
        <v>148</v>
      </c>
      <c r="G49" s="130" t="s">
        <v>133</v>
      </c>
      <c r="H49" s="200" t="s">
        <v>145</v>
      </c>
      <c r="I49" s="127" t="str">
        <f t="shared" si="21"/>
        <v>No of Racks</v>
      </c>
      <c r="J49" s="130">
        <v>1</v>
      </c>
      <c r="K49" s="130">
        <v>1</v>
      </c>
      <c r="L49" s="202">
        <f t="shared" si="22"/>
        <v>0</v>
      </c>
      <c r="M49" s="127">
        <f t="shared" si="23"/>
        <v>1</v>
      </c>
      <c r="N49" s="127">
        <f t="shared" si="24"/>
        <v>0</v>
      </c>
      <c r="O49" s="220">
        <f>540000/12</f>
        <v>45000</v>
      </c>
      <c r="P49" s="204" t="str">
        <f t="shared" si="25"/>
        <v>Rated</v>
      </c>
      <c r="Q49" s="200" t="s">
        <v>6</v>
      </c>
      <c r="R49" s="252">
        <v>6</v>
      </c>
      <c r="S49" s="228">
        <v>5.52</v>
      </c>
      <c r="T49" s="195">
        <f t="shared" si="26"/>
        <v>0.48000000000000043</v>
      </c>
      <c r="U49" s="196">
        <v>0</v>
      </c>
      <c r="V49" s="196">
        <f t="shared" si="27"/>
        <v>0.24000000000000021</v>
      </c>
      <c r="W49" s="196">
        <f t="shared" si="28"/>
        <v>3</v>
      </c>
      <c r="X49" s="196">
        <f t="shared" si="29"/>
        <v>5.52</v>
      </c>
      <c r="Y49" s="196">
        <f t="shared" si="30"/>
        <v>5.52</v>
      </c>
      <c r="Z49" s="196">
        <f t="shared" si="31"/>
        <v>-0.48000000000000043</v>
      </c>
      <c r="AA49" s="220">
        <f>90000/12</f>
        <v>7500</v>
      </c>
      <c r="AB49" s="207" t="s">
        <v>147</v>
      </c>
      <c r="AC49" s="196">
        <v>1.8</v>
      </c>
      <c r="AD49" s="127"/>
      <c r="AE49" s="197"/>
      <c r="AF49" s="197"/>
      <c r="AG49" s="209" t="s">
        <v>137</v>
      </c>
      <c r="AH49" s="127" t="s">
        <v>138</v>
      </c>
      <c r="AI49" s="127">
        <v>0</v>
      </c>
      <c r="AJ49" s="127">
        <v>0</v>
      </c>
      <c r="AK49" s="127">
        <f t="shared" si="32"/>
        <v>0</v>
      </c>
      <c r="AL49" s="127">
        <f t="shared" si="33"/>
        <v>0</v>
      </c>
      <c r="AM49" s="127">
        <v>0</v>
      </c>
      <c r="AN49" s="127"/>
      <c r="AO49" s="127"/>
      <c r="AP49" s="127"/>
      <c r="AQ49" s="127"/>
      <c r="AR49" s="127"/>
      <c r="AS49" s="127"/>
      <c r="AT49" s="127"/>
      <c r="AU49" s="127"/>
      <c r="AV49" s="127"/>
      <c r="AW49" s="127"/>
      <c r="AX49" s="127"/>
      <c r="AY49" s="127"/>
      <c r="AZ49" s="127"/>
      <c r="BA49" s="127"/>
      <c r="BB49" s="127"/>
    </row>
    <row r="50" spans="1:54" ht="12" x14ac:dyDescent="0.3">
      <c r="A50" s="223" t="s">
        <v>29</v>
      </c>
      <c r="B50" s="223" t="s">
        <v>162</v>
      </c>
      <c r="C50" s="134" t="s">
        <v>195</v>
      </c>
      <c r="D50" s="200" t="s">
        <v>171</v>
      </c>
      <c r="E50" s="200" t="s">
        <v>147</v>
      </c>
      <c r="F50" s="208" t="s">
        <v>148</v>
      </c>
      <c r="G50" s="130" t="s">
        <v>133</v>
      </c>
      <c r="H50" s="200" t="s">
        <v>145</v>
      </c>
      <c r="I50" s="127" t="str">
        <f t="shared" si="21"/>
        <v>No of Racks</v>
      </c>
      <c r="J50" s="130">
        <v>1</v>
      </c>
      <c r="K50" s="130">
        <v>1</v>
      </c>
      <c r="L50" s="202">
        <f t="shared" si="22"/>
        <v>0</v>
      </c>
      <c r="M50" s="127">
        <f t="shared" si="23"/>
        <v>1</v>
      </c>
      <c r="N50" s="127">
        <f t="shared" si="24"/>
        <v>0</v>
      </c>
      <c r="O50" s="220">
        <f>485000/12</f>
        <v>40416.666666666664</v>
      </c>
      <c r="P50" s="204" t="str">
        <f t="shared" si="25"/>
        <v>Rated</v>
      </c>
      <c r="Q50" s="200" t="s">
        <v>6</v>
      </c>
      <c r="R50" s="252">
        <v>3</v>
      </c>
      <c r="S50" s="228">
        <v>1.98</v>
      </c>
      <c r="T50" s="195">
        <f t="shared" si="26"/>
        <v>1.02</v>
      </c>
      <c r="U50" s="196">
        <v>0</v>
      </c>
      <c r="V50" s="196">
        <f t="shared" si="27"/>
        <v>0.51</v>
      </c>
      <c r="W50" s="196">
        <f t="shared" si="28"/>
        <v>1.5</v>
      </c>
      <c r="X50" s="196">
        <f t="shared" si="29"/>
        <v>1.98</v>
      </c>
      <c r="Y50" s="196">
        <f t="shared" si="30"/>
        <v>1.98</v>
      </c>
      <c r="Z50" s="196">
        <f t="shared" si="31"/>
        <v>-1.02</v>
      </c>
      <c r="AA50" s="220"/>
      <c r="AB50" s="207" t="s">
        <v>147</v>
      </c>
      <c r="AC50" s="196">
        <v>1.8</v>
      </c>
      <c r="AD50" s="127"/>
      <c r="AE50" s="197"/>
      <c r="AF50" s="197"/>
      <c r="AG50" s="209" t="s">
        <v>137</v>
      </c>
      <c r="AH50" s="127" t="s">
        <v>138</v>
      </c>
      <c r="AI50" s="127">
        <v>0</v>
      </c>
      <c r="AJ50" s="127">
        <v>0</v>
      </c>
      <c r="AK50" s="127">
        <f t="shared" si="32"/>
        <v>0</v>
      </c>
      <c r="AL50" s="127">
        <f t="shared" si="33"/>
        <v>0</v>
      </c>
      <c r="AM50" s="127">
        <v>0</v>
      </c>
      <c r="AN50" s="127"/>
      <c r="AO50" s="127"/>
      <c r="AP50" s="127"/>
      <c r="AQ50" s="127"/>
      <c r="AR50" s="127"/>
      <c r="AS50" s="127"/>
      <c r="AT50" s="127"/>
      <c r="AU50" s="127"/>
      <c r="AV50" s="127"/>
      <c r="AW50" s="127"/>
      <c r="AX50" s="127"/>
      <c r="AY50" s="127"/>
      <c r="AZ50" s="127"/>
      <c r="BA50" s="127"/>
      <c r="BB50" s="127"/>
    </row>
    <row r="51" spans="1:54" ht="12" x14ac:dyDescent="0.3">
      <c r="A51" s="223" t="s">
        <v>29</v>
      </c>
      <c r="B51" s="223" t="s">
        <v>162</v>
      </c>
      <c r="C51" s="134" t="s">
        <v>196</v>
      </c>
      <c r="D51" s="200" t="s">
        <v>171</v>
      </c>
      <c r="E51" s="200" t="s">
        <v>147</v>
      </c>
      <c r="F51" s="208" t="s">
        <v>148</v>
      </c>
      <c r="G51" s="130" t="s">
        <v>166</v>
      </c>
      <c r="H51" s="200" t="s">
        <v>145</v>
      </c>
      <c r="I51" s="127" t="str">
        <f t="shared" si="21"/>
        <v>U Space</v>
      </c>
      <c r="J51" s="130">
        <v>1</v>
      </c>
      <c r="K51" s="130">
        <v>1</v>
      </c>
      <c r="L51" s="202">
        <f t="shared" si="22"/>
        <v>0</v>
      </c>
      <c r="M51" s="127">
        <f t="shared" si="23"/>
        <v>1</v>
      </c>
      <c r="N51" s="127">
        <f t="shared" si="24"/>
        <v>0</v>
      </c>
      <c r="O51" s="220">
        <f>785000/12</f>
        <v>65416.666666666664</v>
      </c>
      <c r="P51" s="204" t="str">
        <f t="shared" si="25"/>
        <v>Rated</v>
      </c>
      <c r="Q51" s="200" t="s">
        <v>6</v>
      </c>
      <c r="R51" s="253">
        <v>0.5</v>
      </c>
      <c r="S51" s="228">
        <v>0.27</v>
      </c>
      <c r="T51" s="195">
        <f t="shared" si="26"/>
        <v>0.22999999999999998</v>
      </c>
      <c r="U51" s="196">
        <v>0</v>
      </c>
      <c r="V51" s="196">
        <f t="shared" si="27"/>
        <v>0.11499999999999999</v>
      </c>
      <c r="W51" s="196">
        <f t="shared" si="28"/>
        <v>0.25</v>
      </c>
      <c r="X51" s="196">
        <f t="shared" si="29"/>
        <v>0.27</v>
      </c>
      <c r="Y51" s="196">
        <f t="shared" si="30"/>
        <v>0.27</v>
      </c>
      <c r="Z51" s="196">
        <f t="shared" si="31"/>
        <v>-0.22999999999999998</v>
      </c>
      <c r="AA51" s="220">
        <f>95000/12</f>
        <v>7916.666666666667</v>
      </c>
      <c r="AB51" s="207" t="s">
        <v>147</v>
      </c>
      <c r="AC51" s="196">
        <v>1.8</v>
      </c>
      <c r="AD51" s="127"/>
      <c r="AE51" s="197"/>
      <c r="AF51" s="197"/>
      <c r="AG51" s="209" t="s">
        <v>137</v>
      </c>
      <c r="AH51" s="127" t="s">
        <v>138</v>
      </c>
      <c r="AI51" s="127">
        <v>0</v>
      </c>
      <c r="AJ51" s="127">
        <v>0</v>
      </c>
      <c r="AK51" s="127">
        <f t="shared" si="32"/>
        <v>0</v>
      </c>
      <c r="AL51" s="127">
        <f t="shared" si="33"/>
        <v>0</v>
      </c>
      <c r="AM51" s="127">
        <v>0</v>
      </c>
      <c r="AN51" s="127"/>
      <c r="AO51" s="127"/>
      <c r="AP51" s="127"/>
      <c r="AQ51" s="127"/>
      <c r="AR51" s="127"/>
      <c r="AS51" s="127"/>
      <c r="AT51" s="127"/>
      <c r="AU51" s="127"/>
      <c r="AV51" s="127"/>
      <c r="AW51" s="127"/>
      <c r="AX51" s="127"/>
      <c r="AY51" s="127"/>
      <c r="AZ51" s="127"/>
      <c r="BA51" s="127"/>
      <c r="BB51" s="127"/>
    </row>
    <row r="52" spans="1:54" ht="12" x14ac:dyDescent="0.3">
      <c r="A52" s="223" t="s">
        <v>29</v>
      </c>
      <c r="B52" s="223" t="s">
        <v>162</v>
      </c>
      <c r="C52" s="134" t="s">
        <v>197</v>
      </c>
      <c r="D52" s="200" t="s">
        <v>171</v>
      </c>
      <c r="E52" s="200" t="s">
        <v>147</v>
      </c>
      <c r="F52" s="208" t="s">
        <v>148</v>
      </c>
      <c r="G52" s="130" t="s">
        <v>166</v>
      </c>
      <c r="H52" s="200" t="s">
        <v>145</v>
      </c>
      <c r="I52" s="127" t="str">
        <f t="shared" si="21"/>
        <v>U Space</v>
      </c>
      <c r="J52" s="130">
        <v>1</v>
      </c>
      <c r="K52" s="130">
        <v>1</v>
      </c>
      <c r="L52" s="202">
        <f t="shared" si="22"/>
        <v>0</v>
      </c>
      <c r="M52" s="127">
        <f t="shared" si="23"/>
        <v>1</v>
      </c>
      <c r="N52" s="127">
        <f t="shared" si="24"/>
        <v>0</v>
      </c>
      <c r="O52" s="220">
        <v>70000</v>
      </c>
      <c r="P52" s="204" t="str">
        <f t="shared" si="25"/>
        <v>Rated</v>
      </c>
      <c r="Q52" s="200" t="s">
        <v>6</v>
      </c>
      <c r="R52" s="253">
        <v>0.25</v>
      </c>
      <c r="S52" s="251">
        <v>0.22</v>
      </c>
      <c r="T52" s="195">
        <f t="shared" si="26"/>
        <v>0.03</v>
      </c>
      <c r="U52" s="196">
        <v>0</v>
      </c>
      <c r="V52" s="196">
        <f t="shared" si="27"/>
        <v>1.4999999999999999E-2</v>
      </c>
      <c r="W52" s="196">
        <f t="shared" si="28"/>
        <v>0.125</v>
      </c>
      <c r="X52" s="196">
        <f t="shared" si="29"/>
        <v>0.22</v>
      </c>
      <c r="Y52" s="196">
        <f t="shared" si="30"/>
        <v>0.22</v>
      </c>
      <c r="Z52" s="196">
        <f t="shared" si="31"/>
        <v>-0.03</v>
      </c>
      <c r="AA52" s="220"/>
      <c r="AB52" s="207" t="s">
        <v>147</v>
      </c>
      <c r="AC52" s="196">
        <v>1.8</v>
      </c>
      <c r="AD52" s="127"/>
      <c r="AE52" s="197"/>
      <c r="AF52" s="197"/>
      <c r="AG52" s="209" t="s">
        <v>137</v>
      </c>
      <c r="AH52" s="127" t="s">
        <v>138</v>
      </c>
      <c r="AI52" s="127">
        <v>0</v>
      </c>
      <c r="AJ52" s="127">
        <v>0</v>
      </c>
      <c r="AK52" s="127">
        <f t="shared" si="32"/>
        <v>0</v>
      </c>
      <c r="AL52" s="127">
        <f t="shared" si="33"/>
        <v>0</v>
      </c>
      <c r="AM52" s="127">
        <v>0</v>
      </c>
      <c r="AN52" s="127"/>
      <c r="AO52" s="127"/>
      <c r="AP52" s="127"/>
      <c r="AQ52" s="127"/>
      <c r="AR52" s="127"/>
      <c r="AS52" s="127"/>
      <c r="AT52" s="127"/>
      <c r="AU52" s="127"/>
      <c r="AV52" s="127"/>
      <c r="AW52" s="127"/>
      <c r="AX52" s="127"/>
      <c r="AY52" s="127"/>
      <c r="AZ52" s="127"/>
      <c r="BA52" s="127"/>
      <c r="BB52" s="127"/>
    </row>
    <row r="53" spans="1:54" ht="12" x14ac:dyDescent="0.3">
      <c r="A53" s="223" t="s">
        <v>29</v>
      </c>
      <c r="B53" s="223" t="s">
        <v>162</v>
      </c>
      <c r="C53" s="134" t="s">
        <v>198</v>
      </c>
      <c r="D53" s="200" t="s">
        <v>171</v>
      </c>
      <c r="E53" s="200" t="s">
        <v>147</v>
      </c>
      <c r="F53" s="208" t="s">
        <v>148</v>
      </c>
      <c r="G53" s="130" t="s">
        <v>166</v>
      </c>
      <c r="H53" s="200" t="s">
        <v>145</v>
      </c>
      <c r="I53" s="127" t="str">
        <f t="shared" si="21"/>
        <v>U Space</v>
      </c>
      <c r="J53" s="130">
        <v>1</v>
      </c>
      <c r="K53" s="130">
        <v>1</v>
      </c>
      <c r="L53" s="202">
        <f t="shared" si="22"/>
        <v>0</v>
      </c>
      <c r="M53" s="127">
        <f t="shared" si="23"/>
        <v>1</v>
      </c>
      <c r="N53" s="127">
        <f t="shared" si="24"/>
        <v>0</v>
      </c>
      <c r="O53" s="220">
        <f>37000/12</f>
        <v>3083.3333333333335</v>
      </c>
      <c r="P53" s="204" t="str">
        <f t="shared" si="25"/>
        <v>Rated</v>
      </c>
      <c r="Q53" s="200" t="s">
        <v>6</v>
      </c>
      <c r="R53" s="253">
        <v>0.25</v>
      </c>
      <c r="S53" s="228">
        <v>0.23300000000000001</v>
      </c>
      <c r="T53" s="195">
        <f t="shared" si="26"/>
        <v>1.6999999999999987E-2</v>
      </c>
      <c r="U53" s="196">
        <v>0</v>
      </c>
      <c r="V53" s="196">
        <f t="shared" si="27"/>
        <v>8.4999999999999937E-3</v>
      </c>
      <c r="W53" s="196">
        <f t="shared" si="28"/>
        <v>0.125</v>
      </c>
      <c r="X53" s="196">
        <f t="shared" si="29"/>
        <v>0.23300000000000001</v>
      </c>
      <c r="Y53" s="196">
        <f t="shared" si="30"/>
        <v>0.23300000000000001</v>
      </c>
      <c r="Z53" s="196">
        <f t="shared" si="31"/>
        <v>-1.6999999999999987E-2</v>
      </c>
      <c r="AA53" s="220">
        <f>85000/12</f>
        <v>7083.333333333333</v>
      </c>
      <c r="AB53" s="207" t="s">
        <v>147</v>
      </c>
      <c r="AC53" s="196">
        <v>1.8</v>
      </c>
      <c r="AD53" s="127"/>
      <c r="AE53" s="197"/>
      <c r="AF53" s="197"/>
      <c r="AG53" s="209" t="s">
        <v>137</v>
      </c>
      <c r="AH53" s="127" t="s">
        <v>138</v>
      </c>
      <c r="AI53" s="127">
        <v>0</v>
      </c>
      <c r="AJ53" s="127">
        <v>0</v>
      </c>
      <c r="AK53" s="127">
        <f t="shared" si="32"/>
        <v>0</v>
      </c>
      <c r="AL53" s="127">
        <f t="shared" si="33"/>
        <v>0</v>
      </c>
      <c r="AM53" s="127">
        <v>0</v>
      </c>
      <c r="AN53" s="127"/>
      <c r="AO53" s="127"/>
      <c r="AP53" s="127"/>
      <c r="AQ53" s="127"/>
      <c r="AR53" s="127"/>
      <c r="AS53" s="127"/>
      <c r="AT53" s="127"/>
      <c r="AU53" s="127"/>
      <c r="AV53" s="127"/>
      <c r="AW53" s="127"/>
      <c r="AX53" s="127"/>
      <c r="AY53" s="127"/>
      <c r="AZ53" s="127"/>
      <c r="BA53" s="127"/>
      <c r="BB53" s="127"/>
    </row>
    <row r="54" spans="1:54" ht="12" x14ac:dyDescent="0.3">
      <c r="A54" s="223" t="s">
        <v>29</v>
      </c>
      <c r="B54" s="223" t="s">
        <v>162</v>
      </c>
      <c r="C54" s="134" t="s">
        <v>199</v>
      </c>
      <c r="D54" s="200" t="s">
        <v>171</v>
      </c>
      <c r="E54" s="200" t="s">
        <v>147</v>
      </c>
      <c r="F54" s="208" t="s">
        <v>148</v>
      </c>
      <c r="G54" s="130" t="s">
        <v>133</v>
      </c>
      <c r="H54" s="200" t="s">
        <v>145</v>
      </c>
      <c r="I54" s="127" t="str">
        <f t="shared" si="21"/>
        <v>No of Racks</v>
      </c>
      <c r="J54" s="130">
        <v>21</v>
      </c>
      <c r="K54" s="130">
        <v>21</v>
      </c>
      <c r="L54" s="202">
        <f t="shared" si="22"/>
        <v>0</v>
      </c>
      <c r="M54" s="127">
        <f t="shared" si="23"/>
        <v>21</v>
      </c>
      <c r="N54" s="127">
        <f t="shared" si="24"/>
        <v>0</v>
      </c>
      <c r="O54" s="220">
        <f>35000/12</f>
        <v>2916.6666666666665</v>
      </c>
      <c r="P54" s="204" t="str">
        <f t="shared" si="25"/>
        <v>Rated</v>
      </c>
      <c r="Q54" s="200" t="s">
        <v>6</v>
      </c>
      <c r="R54" s="254">
        <v>4</v>
      </c>
      <c r="S54" s="228">
        <v>3.93</v>
      </c>
      <c r="T54" s="195">
        <f t="shared" si="26"/>
        <v>6.999999999999984E-2</v>
      </c>
      <c r="U54" s="196">
        <v>0</v>
      </c>
      <c r="V54" s="196">
        <f t="shared" si="27"/>
        <v>3.499999999999992E-2</v>
      </c>
      <c r="W54" s="196">
        <f t="shared" si="28"/>
        <v>2</v>
      </c>
      <c r="X54" s="196">
        <f t="shared" si="29"/>
        <v>3.93</v>
      </c>
      <c r="Y54" s="196">
        <f t="shared" si="30"/>
        <v>3.93</v>
      </c>
      <c r="Z54" s="196">
        <f t="shared" si="31"/>
        <v>-6.999999999999984E-2</v>
      </c>
      <c r="AA54" s="220">
        <f>85000/12</f>
        <v>7083.333333333333</v>
      </c>
      <c r="AB54" s="207" t="s">
        <v>147</v>
      </c>
      <c r="AC54" s="196">
        <v>1.8</v>
      </c>
      <c r="AD54" s="127"/>
      <c r="AE54" s="197"/>
      <c r="AF54" s="197"/>
      <c r="AG54" s="209" t="s">
        <v>137</v>
      </c>
      <c r="AH54" s="127" t="s">
        <v>138</v>
      </c>
      <c r="AI54" s="127">
        <v>0</v>
      </c>
      <c r="AJ54" s="127">
        <v>0</v>
      </c>
      <c r="AK54" s="127">
        <f t="shared" si="32"/>
        <v>0</v>
      </c>
      <c r="AL54" s="127">
        <f t="shared" si="33"/>
        <v>0</v>
      </c>
      <c r="AM54" s="127">
        <v>0</v>
      </c>
      <c r="AN54" s="127"/>
      <c r="AO54" s="127"/>
      <c r="AP54" s="127"/>
      <c r="AQ54" s="127"/>
      <c r="AR54" s="127"/>
      <c r="AS54" s="127"/>
      <c r="AT54" s="127"/>
      <c r="AU54" s="127"/>
      <c r="AV54" s="127"/>
      <c r="AW54" s="127"/>
      <c r="AX54" s="127"/>
      <c r="AY54" s="127"/>
      <c r="AZ54" s="127"/>
      <c r="BA54" s="127"/>
      <c r="BB54" s="127"/>
    </row>
    <row r="55" spans="1:54" ht="12" x14ac:dyDescent="0.3">
      <c r="A55" s="223" t="s">
        <v>29</v>
      </c>
      <c r="B55" s="223" t="s">
        <v>162</v>
      </c>
      <c r="C55" s="134" t="s">
        <v>200</v>
      </c>
      <c r="D55" s="200" t="s">
        <v>171</v>
      </c>
      <c r="E55" s="200" t="s">
        <v>147</v>
      </c>
      <c r="F55" s="208" t="s">
        <v>148</v>
      </c>
      <c r="G55" s="130" t="s">
        <v>166</v>
      </c>
      <c r="H55" s="200" t="s">
        <v>145</v>
      </c>
      <c r="I55" s="127" t="str">
        <f t="shared" si="21"/>
        <v>U Space</v>
      </c>
      <c r="J55" s="130">
        <v>4</v>
      </c>
      <c r="K55" s="130">
        <v>6</v>
      </c>
      <c r="L55" s="202">
        <f t="shared" si="22"/>
        <v>-2</v>
      </c>
      <c r="M55" s="127">
        <f t="shared" si="23"/>
        <v>4</v>
      </c>
      <c r="N55" s="127">
        <f t="shared" si="24"/>
        <v>0</v>
      </c>
      <c r="O55" s="220">
        <f>216000/12/21</f>
        <v>857.14285714285711</v>
      </c>
      <c r="P55" s="204" t="str">
        <f t="shared" si="25"/>
        <v>Rated</v>
      </c>
      <c r="Q55" s="200" t="s">
        <v>6</v>
      </c>
      <c r="R55" s="254">
        <v>1</v>
      </c>
      <c r="S55" s="228">
        <v>2.11</v>
      </c>
      <c r="T55" s="195">
        <f t="shared" si="26"/>
        <v>-1.1099999999999999</v>
      </c>
      <c r="U55" s="196">
        <v>0</v>
      </c>
      <c r="V55" s="196">
        <f t="shared" si="27"/>
        <v>0</v>
      </c>
      <c r="W55" s="196">
        <f t="shared" si="28"/>
        <v>0.5</v>
      </c>
      <c r="X55" s="196">
        <f t="shared" si="29"/>
        <v>2.11</v>
      </c>
      <c r="Y55" s="196">
        <f t="shared" si="30"/>
        <v>2.11</v>
      </c>
      <c r="Z55" s="196">
        <f t="shared" si="31"/>
        <v>1.1099999999999999</v>
      </c>
      <c r="AA55" s="220">
        <f>90000/12</f>
        <v>7500</v>
      </c>
      <c r="AB55" s="207" t="s">
        <v>147</v>
      </c>
      <c r="AC55" s="196">
        <v>1.8</v>
      </c>
      <c r="AD55" s="127"/>
      <c r="AE55" s="197"/>
      <c r="AF55" s="197"/>
      <c r="AG55" s="209" t="s">
        <v>137</v>
      </c>
      <c r="AH55" s="127" t="s">
        <v>138</v>
      </c>
      <c r="AI55" s="127">
        <v>0</v>
      </c>
      <c r="AJ55" s="127">
        <v>0</v>
      </c>
      <c r="AK55" s="127">
        <f t="shared" si="32"/>
        <v>0</v>
      </c>
      <c r="AL55" s="127">
        <f t="shared" si="33"/>
        <v>0</v>
      </c>
      <c r="AM55" s="127">
        <v>0</v>
      </c>
      <c r="AN55" s="127"/>
      <c r="AO55" s="127"/>
      <c r="AP55" s="127"/>
      <c r="AQ55" s="127"/>
      <c r="AR55" s="127"/>
      <c r="AS55" s="127"/>
      <c r="AT55" s="127"/>
      <c r="AU55" s="127"/>
      <c r="AV55" s="127"/>
      <c r="AW55" s="127"/>
      <c r="AX55" s="127"/>
      <c r="AY55" s="127"/>
      <c r="AZ55" s="127"/>
      <c r="BA55" s="127"/>
      <c r="BB55" s="127"/>
    </row>
    <row r="56" spans="1:54" ht="12" x14ac:dyDescent="0.3">
      <c r="A56" s="223" t="s">
        <v>29</v>
      </c>
      <c r="B56" s="223" t="s">
        <v>162</v>
      </c>
      <c r="C56" s="132" t="s">
        <v>201</v>
      </c>
      <c r="D56" s="200" t="s">
        <v>171</v>
      </c>
      <c r="E56" s="200" t="s">
        <v>147</v>
      </c>
      <c r="F56" s="208" t="s">
        <v>148</v>
      </c>
      <c r="G56" s="130" t="s">
        <v>133</v>
      </c>
      <c r="H56" s="200" t="s">
        <v>145</v>
      </c>
      <c r="I56" s="127" t="str">
        <f t="shared" si="21"/>
        <v>No of Racks</v>
      </c>
      <c r="J56" s="130">
        <v>3</v>
      </c>
      <c r="K56" s="130">
        <v>3</v>
      </c>
      <c r="L56" s="202">
        <f t="shared" si="22"/>
        <v>0</v>
      </c>
      <c r="M56" s="127">
        <f t="shared" si="23"/>
        <v>3</v>
      </c>
      <c r="N56" s="127">
        <f t="shared" si="24"/>
        <v>0</v>
      </c>
      <c r="O56" s="220">
        <f>35000/12</f>
        <v>2916.6666666666665</v>
      </c>
      <c r="P56" s="204" t="str">
        <f t="shared" si="25"/>
        <v>Rated</v>
      </c>
      <c r="Q56" s="200" t="s">
        <v>6</v>
      </c>
      <c r="R56" s="252">
        <v>16</v>
      </c>
      <c r="S56" s="228">
        <v>16.16</v>
      </c>
      <c r="T56" s="195">
        <f t="shared" si="26"/>
        <v>-0.16000000000000014</v>
      </c>
      <c r="U56" s="196">
        <v>0</v>
      </c>
      <c r="V56" s="196">
        <f t="shared" si="27"/>
        <v>0</v>
      </c>
      <c r="W56" s="196">
        <f t="shared" si="28"/>
        <v>8</v>
      </c>
      <c r="X56" s="196">
        <f t="shared" si="29"/>
        <v>16.16</v>
      </c>
      <c r="Y56" s="196">
        <f t="shared" si="30"/>
        <v>16.16</v>
      </c>
      <c r="Z56" s="196">
        <f t="shared" si="31"/>
        <v>0.16000000000000014</v>
      </c>
      <c r="AA56" s="220"/>
      <c r="AB56" s="207" t="s">
        <v>147</v>
      </c>
      <c r="AC56" s="196">
        <v>1.8</v>
      </c>
      <c r="AD56" s="127"/>
      <c r="AE56" s="197"/>
      <c r="AF56" s="197"/>
      <c r="AG56" s="209" t="s">
        <v>137</v>
      </c>
      <c r="AH56" s="127" t="s">
        <v>138</v>
      </c>
      <c r="AI56" s="127">
        <v>0</v>
      </c>
      <c r="AJ56" s="127">
        <v>0</v>
      </c>
      <c r="AK56" s="127">
        <f t="shared" si="32"/>
        <v>0</v>
      </c>
      <c r="AL56" s="127">
        <f t="shared" si="33"/>
        <v>0</v>
      </c>
      <c r="AM56" s="127">
        <v>0</v>
      </c>
      <c r="AN56" s="127"/>
      <c r="AO56" s="127"/>
      <c r="AP56" s="127"/>
      <c r="AQ56" s="127"/>
      <c r="AR56" s="127"/>
      <c r="AS56" s="127"/>
      <c r="AT56" s="127"/>
      <c r="AU56" s="127"/>
      <c r="AV56" s="127"/>
      <c r="AW56" s="127"/>
      <c r="AX56" s="127"/>
      <c r="AY56" s="127"/>
      <c r="AZ56" s="127"/>
      <c r="BA56" s="127"/>
      <c r="BB56" s="127"/>
    </row>
    <row r="57" spans="1:54" ht="14.4" x14ac:dyDescent="0.3">
      <c r="A57" s="223" t="s">
        <v>29</v>
      </c>
      <c r="B57" s="223" t="s">
        <v>162</v>
      </c>
      <c r="C57" s="231" t="s">
        <v>202</v>
      </c>
      <c r="D57" s="200" t="s">
        <v>171</v>
      </c>
      <c r="E57" s="200" t="s">
        <v>147</v>
      </c>
      <c r="F57" s="208" t="s">
        <v>148</v>
      </c>
      <c r="G57" s="130" t="s">
        <v>166</v>
      </c>
      <c r="H57" s="200" t="s">
        <v>145</v>
      </c>
      <c r="I57" s="127" t="str">
        <f t="shared" si="21"/>
        <v>U Space</v>
      </c>
      <c r="J57" s="130">
        <v>4</v>
      </c>
      <c r="K57" s="130">
        <v>4</v>
      </c>
      <c r="L57" s="202">
        <f t="shared" si="22"/>
        <v>0</v>
      </c>
      <c r="M57" s="127">
        <f t="shared" si="23"/>
        <v>4</v>
      </c>
      <c r="N57" s="127">
        <f t="shared" si="24"/>
        <v>0</v>
      </c>
      <c r="O57" s="220">
        <f>(894000+480700)/12/2</f>
        <v>57279.166666666664</v>
      </c>
      <c r="P57" s="204" t="str">
        <f t="shared" si="25"/>
        <v>Rated</v>
      </c>
      <c r="Q57" s="200" t="s">
        <v>6</v>
      </c>
      <c r="R57" s="130">
        <v>1.72</v>
      </c>
      <c r="S57" s="228">
        <v>1.4</v>
      </c>
      <c r="T57" s="195">
        <f t="shared" si="26"/>
        <v>0.32000000000000006</v>
      </c>
      <c r="U57" s="196">
        <v>0</v>
      </c>
      <c r="V57" s="196">
        <f t="shared" si="27"/>
        <v>0.16000000000000003</v>
      </c>
      <c r="W57" s="196">
        <f t="shared" si="28"/>
        <v>0.86</v>
      </c>
      <c r="X57" s="196">
        <f t="shared" si="29"/>
        <v>1.4</v>
      </c>
      <c r="Y57" s="196">
        <f t="shared" si="30"/>
        <v>1.4</v>
      </c>
      <c r="Z57" s="196">
        <f t="shared" si="31"/>
        <v>-0.32000000000000006</v>
      </c>
      <c r="AA57" s="220">
        <f>95000/12</f>
        <v>7916.666666666667</v>
      </c>
      <c r="AB57" s="207" t="s">
        <v>147</v>
      </c>
      <c r="AC57" s="196">
        <v>1.8</v>
      </c>
      <c r="AD57" s="127"/>
      <c r="AE57" s="197"/>
      <c r="AF57" s="197"/>
      <c r="AG57" s="209" t="s">
        <v>137</v>
      </c>
      <c r="AH57" s="127" t="s">
        <v>138</v>
      </c>
      <c r="AI57" s="127">
        <v>0</v>
      </c>
      <c r="AJ57" s="127">
        <v>0</v>
      </c>
      <c r="AK57" s="127">
        <f t="shared" si="32"/>
        <v>0</v>
      </c>
      <c r="AL57" s="127">
        <f t="shared" si="33"/>
        <v>0</v>
      </c>
      <c r="AM57" s="127">
        <v>0</v>
      </c>
      <c r="AN57" s="127"/>
      <c r="AO57" s="127"/>
      <c r="AP57" s="127"/>
      <c r="AQ57" s="127"/>
      <c r="AR57" s="127"/>
      <c r="AS57" s="127"/>
      <c r="AT57" s="127"/>
      <c r="AU57" s="127"/>
      <c r="AV57" s="127"/>
      <c r="AW57" s="127"/>
      <c r="AX57" s="127"/>
      <c r="AY57" s="127"/>
      <c r="AZ57" s="127"/>
      <c r="BA57" s="127"/>
      <c r="BB57" s="127"/>
    </row>
    <row r="58" spans="1:54" ht="12" x14ac:dyDescent="0.3">
      <c r="A58" s="223" t="s">
        <v>29</v>
      </c>
      <c r="B58" s="223" t="s">
        <v>162</v>
      </c>
      <c r="C58" s="134" t="s">
        <v>203</v>
      </c>
      <c r="D58" s="200" t="s">
        <v>171</v>
      </c>
      <c r="E58" s="200" t="s">
        <v>147</v>
      </c>
      <c r="F58" s="208" t="s">
        <v>148</v>
      </c>
      <c r="G58" s="130" t="s">
        <v>133</v>
      </c>
      <c r="H58" s="200" t="s">
        <v>145</v>
      </c>
      <c r="I58" s="127" t="str">
        <f t="shared" si="21"/>
        <v>No of Racks</v>
      </c>
      <c r="J58" s="130">
        <v>1</v>
      </c>
      <c r="K58" s="130">
        <v>1</v>
      </c>
      <c r="L58" s="202">
        <f t="shared" si="22"/>
        <v>0</v>
      </c>
      <c r="M58" s="127">
        <f t="shared" si="23"/>
        <v>1</v>
      </c>
      <c r="N58" s="127">
        <f t="shared" si="24"/>
        <v>0</v>
      </c>
      <c r="O58" s="220">
        <f>(39750+39750/4)/12</f>
        <v>4140.625</v>
      </c>
      <c r="P58" s="204" t="str">
        <f t="shared" si="25"/>
        <v>Rated</v>
      </c>
      <c r="Q58" s="200" t="s">
        <v>6</v>
      </c>
      <c r="R58" s="130">
        <v>9.5</v>
      </c>
      <c r="S58" s="228">
        <v>10.53</v>
      </c>
      <c r="T58" s="195">
        <f t="shared" si="26"/>
        <v>-1.0299999999999994</v>
      </c>
      <c r="U58" s="196">
        <v>0</v>
      </c>
      <c r="V58" s="196">
        <f t="shared" si="27"/>
        <v>0</v>
      </c>
      <c r="W58" s="196">
        <f t="shared" si="28"/>
        <v>4.75</v>
      </c>
      <c r="X58" s="196">
        <f t="shared" si="29"/>
        <v>10.53</v>
      </c>
      <c r="Y58" s="196">
        <f t="shared" si="30"/>
        <v>10.53</v>
      </c>
      <c r="Z58" s="196">
        <f t="shared" si="31"/>
        <v>1.0299999999999994</v>
      </c>
      <c r="AA58" s="127"/>
      <c r="AB58" s="207" t="s">
        <v>147</v>
      </c>
      <c r="AC58" s="196">
        <v>1.8</v>
      </c>
      <c r="AD58" s="127"/>
      <c r="AE58" s="197"/>
      <c r="AF58" s="197"/>
      <c r="AG58" s="209" t="s">
        <v>137</v>
      </c>
      <c r="AH58" s="127" t="s">
        <v>138</v>
      </c>
      <c r="AI58" s="127">
        <v>0</v>
      </c>
      <c r="AJ58" s="127">
        <v>0</v>
      </c>
      <c r="AK58" s="127">
        <f t="shared" si="32"/>
        <v>0</v>
      </c>
      <c r="AL58" s="127">
        <f t="shared" si="33"/>
        <v>0</v>
      </c>
      <c r="AM58" s="127">
        <v>0</v>
      </c>
      <c r="AN58" s="127"/>
      <c r="AO58" s="127"/>
      <c r="AP58" s="127"/>
      <c r="AQ58" s="127"/>
      <c r="AR58" s="127"/>
      <c r="AS58" s="127"/>
      <c r="AT58" s="127"/>
      <c r="AU58" s="127"/>
      <c r="AV58" s="127"/>
      <c r="AW58" s="127"/>
      <c r="AX58" s="127"/>
      <c r="AY58" s="127"/>
      <c r="AZ58" s="127"/>
      <c r="BA58" s="127"/>
      <c r="BB58" s="127"/>
    </row>
    <row r="59" spans="1:54" ht="12" x14ac:dyDescent="0.25">
      <c r="A59" s="223" t="s">
        <v>29</v>
      </c>
      <c r="B59" s="223" t="s">
        <v>162</v>
      </c>
      <c r="C59" s="133" t="s">
        <v>204</v>
      </c>
      <c r="D59" s="200" t="s">
        <v>171</v>
      </c>
      <c r="E59" s="200" t="s">
        <v>147</v>
      </c>
      <c r="F59" s="208" t="s">
        <v>148</v>
      </c>
      <c r="G59" s="130" t="s">
        <v>166</v>
      </c>
      <c r="H59" s="200" t="s">
        <v>145</v>
      </c>
      <c r="I59" s="127" t="str">
        <f t="shared" si="21"/>
        <v>U Space</v>
      </c>
      <c r="J59" s="130">
        <v>4</v>
      </c>
      <c r="K59" s="130">
        <v>4</v>
      </c>
      <c r="L59" s="202">
        <f t="shared" si="22"/>
        <v>0</v>
      </c>
      <c r="M59" s="127">
        <f t="shared" si="23"/>
        <v>4</v>
      </c>
      <c r="N59" s="127">
        <f t="shared" si="24"/>
        <v>0</v>
      </c>
      <c r="O59" s="220">
        <f>40000/2/12</f>
        <v>1666.6666666666667</v>
      </c>
      <c r="P59" s="204" t="str">
        <f t="shared" si="25"/>
        <v>Rated</v>
      </c>
      <c r="Q59" s="200" t="s">
        <v>6</v>
      </c>
      <c r="R59" s="130">
        <v>1</v>
      </c>
      <c r="S59" s="228">
        <v>0.505</v>
      </c>
      <c r="T59" s="195">
        <f t="shared" si="26"/>
        <v>0.495</v>
      </c>
      <c r="U59" s="196">
        <v>0</v>
      </c>
      <c r="V59" s="196">
        <f t="shared" si="27"/>
        <v>0.2475</v>
      </c>
      <c r="W59" s="196">
        <f t="shared" si="28"/>
        <v>0.5</v>
      </c>
      <c r="X59" s="196">
        <f t="shared" si="29"/>
        <v>0.505</v>
      </c>
      <c r="Y59" s="196">
        <f t="shared" si="30"/>
        <v>0.505</v>
      </c>
      <c r="Z59" s="196">
        <f t="shared" si="31"/>
        <v>-0.495</v>
      </c>
      <c r="AA59" s="127"/>
      <c r="AB59" s="207" t="s">
        <v>147</v>
      </c>
      <c r="AC59" s="196">
        <v>1.8</v>
      </c>
      <c r="AD59" s="127"/>
      <c r="AE59" s="197"/>
      <c r="AF59" s="197"/>
      <c r="AG59" s="209" t="s">
        <v>137</v>
      </c>
      <c r="AH59" s="127" t="s">
        <v>138</v>
      </c>
      <c r="AI59" s="127">
        <v>0</v>
      </c>
      <c r="AJ59" s="127">
        <v>0</v>
      </c>
      <c r="AK59" s="127">
        <f t="shared" si="32"/>
        <v>0</v>
      </c>
      <c r="AL59" s="127">
        <f t="shared" si="33"/>
        <v>0</v>
      </c>
      <c r="AM59" s="127">
        <v>0</v>
      </c>
      <c r="AN59" s="127"/>
      <c r="AO59" s="127"/>
      <c r="AP59" s="127"/>
      <c r="AQ59" s="127"/>
      <c r="AR59" s="127"/>
      <c r="AS59" s="127"/>
      <c r="AT59" s="127"/>
      <c r="AU59" s="127"/>
      <c r="AV59" s="127"/>
      <c r="AW59" s="127"/>
      <c r="AX59" s="127"/>
      <c r="AY59" s="127"/>
      <c r="AZ59" s="127"/>
      <c r="BA59" s="127"/>
      <c r="BB59" s="127"/>
    </row>
    <row r="60" spans="1:54" ht="12" x14ac:dyDescent="0.25">
      <c r="A60" s="223" t="s">
        <v>29</v>
      </c>
      <c r="B60" s="223" t="s">
        <v>162</v>
      </c>
      <c r="C60" s="133" t="s">
        <v>206</v>
      </c>
      <c r="D60" s="200" t="s">
        <v>171</v>
      </c>
      <c r="E60" s="200" t="s">
        <v>147</v>
      </c>
      <c r="F60" s="208" t="s">
        <v>148</v>
      </c>
      <c r="G60" s="130" t="s">
        <v>166</v>
      </c>
      <c r="H60" s="200" t="s">
        <v>145</v>
      </c>
      <c r="I60" s="127" t="str">
        <f t="shared" si="21"/>
        <v>U Space</v>
      </c>
      <c r="J60" s="130">
        <v>21</v>
      </c>
      <c r="K60" s="130">
        <v>21</v>
      </c>
      <c r="L60" s="202">
        <f t="shared" si="22"/>
        <v>0</v>
      </c>
      <c r="M60" s="127">
        <f t="shared" si="23"/>
        <v>21</v>
      </c>
      <c r="N60" s="127">
        <f t="shared" si="24"/>
        <v>0</v>
      </c>
      <c r="O60" s="196"/>
      <c r="P60" s="204" t="str">
        <f t="shared" si="25"/>
        <v>Rated</v>
      </c>
      <c r="Q60" s="200" t="s">
        <v>6</v>
      </c>
      <c r="R60" s="130">
        <v>1.5</v>
      </c>
      <c r="S60" s="228">
        <v>1.44</v>
      </c>
      <c r="T60" s="195">
        <f t="shared" si="26"/>
        <v>6.0000000000000053E-2</v>
      </c>
      <c r="U60" s="196">
        <v>0</v>
      </c>
      <c r="V60" s="196">
        <f t="shared" si="27"/>
        <v>3.0000000000000027E-2</v>
      </c>
      <c r="W60" s="196">
        <f t="shared" si="28"/>
        <v>0.75</v>
      </c>
      <c r="X60" s="196">
        <f t="shared" si="29"/>
        <v>1.44</v>
      </c>
      <c r="Y60" s="196">
        <f t="shared" si="30"/>
        <v>1.44</v>
      </c>
      <c r="Z60" s="196">
        <f t="shared" si="31"/>
        <v>-6.0000000000000053E-2</v>
      </c>
      <c r="AA60" s="127"/>
      <c r="AB60" s="207" t="s">
        <v>147</v>
      </c>
      <c r="AC60" s="196">
        <v>1.8</v>
      </c>
      <c r="AD60" s="127"/>
      <c r="AE60" s="197"/>
      <c r="AF60" s="197"/>
      <c r="AG60" s="209" t="s">
        <v>137</v>
      </c>
      <c r="AH60" s="127" t="s">
        <v>138</v>
      </c>
      <c r="AI60" s="127">
        <v>0</v>
      </c>
      <c r="AJ60" s="127">
        <v>0</v>
      </c>
      <c r="AK60" s="127">
        <f t="shared" si="32"/>
        <v>0</v>
      </c>
      <c r="AL60" s="127">
        <f t="shared" si="33"/>
        <v>0</v>
      </c>
      <c r="AM60" s="127">
        <v>0</v>
      </c>
      <c r="AN60" s="127"/>
      <c r="AO60" s="127"/>
      <c r="AP60" s="127"/>
      <c r="AQ60" s="127"/>
      <c r="AR60" s="127"/>
      <c r="AS60" s="127"/>
      <c r="AT60" s="127"/>
      <c r="AU60" s="127"/>
      <c r="AV60" s="127"/>
      <c r="AW60" s="127"/>
      <c r="AX60" s="127"/>
      <c r="AY60" s="127"/>
      <c r="AZ60" s="127"/>
      <c r="BA60" s="127"/>
      <c r="BB60" s="127"/>
    </row>
    <row r="61" spans="1:54" ht="12" x14ac:dyDescent="0.25">
      <c r="A61" s="223" t="s">
        <v>29</v>
      </c>
      <c r="B61" s="223" t="s">
        <v>162</v>
      </c>
      <c r="C61" s="133" t="s">
        <v>207</v>
      </c>
      <c r="D61" s="200" t="s">
        <v>171</v>
      </c>
      <c r="E61" s="200" t="s">
        <v>147</v>
      </c>
      <c r="F61" s="208" t="s">
        <v>148</v>
      </c>
      <c r="G61" s="130" t="s">
        <v>133</v>
      </c>
      <c r="H61" s="200" t="s">
        <v>145</v>
      </c>
      <c r="I61" s="127" t="str">
        <f t="shared" si="21"/>
        <v>No of Racks</v>
      </c>
      <c r="J61" s="130">
        <v>1</v>
      </c>
      <c r="K61" s="130">
        <v>1</v>
      </c>
      <c r="L61" s="202">
        <f t="shared" si="22"/>
        <v>0</v>
      </c>
      <c r="M61" s="127">
        <f t="shared" si="23"/>
        <v>1</v>
      </c>
      <c r="N61" s="127">
        <f t="shared" si="24"/>
        <v>0</v>
      </c>
      <c r="O61" s="196"/>
      <c r="P61" s="204" t="str">
        <f t="shared" si="25"/>
        <v>Rated</v>
      </c>
      <c r="Q61" s="200" t="s">
        <v>6</v>
      </c>
      <c r="R61" s="252">
        <v>8</v>
      </c>
      <c r="S61" s="228">
        <v>7.28</v>
      </c>
      <c r="T61" s="195">
        <f t="shared" si="26"/>
        <v>0.71999999999999975</v>
      </c>
      <c r="U61" s="196">
        <v>0</v>
      </c>
      <c r="V61" s="196">
        <f t="shared" si="27"/>
        <v>0.35999999999999988</v>
      </c>
      <c r="W61" s="196">
        <f t="shared" si="28"/>
        <v>4</v>
      </c>
      <c r="X61" s="196">
        <f t="shared" si="29"/>
        <v>7.28</v>
      </c>
      <c r="Y61" s="196">
        <f t="shared" si="30"/>
        <v>7.28</v>
      </c>
      <c r="Z61" s="196">
        <f t="shared" si="31"/>
        <v>-0.71999999999999975</v>
      </c>
      <c r="AA61" s="127"/>
      <c r="AB61" s="207" t="s">
        <v>147</v>
      </c>
      <c r="AC61" s="196">
        <v>1.8</v>
      </c>
      <c r="AD61" s="127"/>
      <c r="AE61" s="197"/>
      <c r="AF61" s="197"/>
      <c r="AG61" s="209" t="s">
        <v>137</v>
      </c>
      <c r="AH61" s="127" t="s">
        <v>138</v>
      </c>
      <c r="AI61" s="127">
        <v>0</v>
      </c>
      <c r="AJ61" s="127">
        <v>0</v>
      </c>
      <c r="AK61" s="127">
        <f t="shared" si="32"/>
        <v>0</v>
      </c>
      <c r="AL61" s="127">
        <f t="shared" si="33"/>
        <v>0</v>
      </c>
      <c r="AM61" s="127">
        <v>0</v>
      </c>
      <c r="AN61" s="127"/>
      <c r="AO61" s="127"/>
      <c r="AP61" s="127"/>
      <c r="AQ61" s="127"/>
      <c r="AR61" s="127"/>
      <c r="AS61" s="127"/>
      <c r="AT61" s="127"/>
      <c r="AU61" s="127"/>
      <c r="AV61" s="127"/>
      <c r="AW61" s="127"/>
      <c r="AX61" s="127"/>
      <c r="AY61" s="127"/>
      <c r="AZ61" s="127"/>
      <c r="BA61" s="127"/>
      <c r="BB61" s="127"/>
    </row>
    <row r="62" spans="1:54" ht="12" x14ac:dyDescent="0.25">
      <c r="A62" s="223" t="s">
        <v>29</v>
      </c>
      <c r="B62" s="223" t="s">
        <v>162</v>
      </c>
      <c r="C62" s="133" t="s">
        <v>208</v>
      </c>
      <c r="D62" s="200" t="s">
        <v>171</v>
      </c>
      <c r="E62" s="200" t="s">
        <v>147</v>
      </c>
      <c r="F62" s="208" t="s">
        <v>148</v>
      </c>
      <c r="G62" s="130" t="s">
        <v>133</v>
      </c>
      <c r="H62" s="200" t="s">
        <v>145</v>
      </c>
      <c r="I62" s="127" t="str">
        <f t="shared" si="21"/>
        <v>No of Racks</v>
      </c>
      <c r="J62" s="130">
        <v>2</v>
      </c>
      <c r="K62" s="130">
        <v>2</v>
      </c>
      <c r="L62" s="202">
        <f t="shared" si="22"/>
        <v>0</v>
      </c>
      <c r="M62" s="127">
        <f t="shared" si="23"/>
        <v>2</v>
      </c>
      <c r="N62" s="127">
        <f t="shared" si="24"/>
        <v>0</v>
      </c>
      <c r="O62" s="196"/>
      <c r="P62" s="204" t="str">
        <f t="shared" si="25"/>
        <v>Rated</v>
      </c>
      <c r="Q62" s="200" t="s">
        <v>6</v>
      </c>
      <c r="R62" s="252">
        <v>22</v>
      </c>
      <c r="S62" s="228">
        <v>22.87</v>
      </c>
      <c r="T62" s="195">
        <f t="shared" si="26"/>
        <v>-0.87000000000000099</v>
      </c>
      <c r="U62" s="196">
        <v>0</v>
      </c>
      <c r="V62" s="196">
        <f t="shared" si="27"/>
        <v>0</v>
      </c>
      <c r="W62" s="196">
        <f t="shared" si="28"/>
        <v>11</v>
      </c>
      <c r="X62" s="196">
        <f t="shared" si="29"/>
        <v>22.87</v>
      </c>
      <c r="Y62" s="196">
        <f t="shared" si="30"/>
        <v>22.87</v>
      </c>
      <c r="Z62" s="196">
        <f t="shared" si="31"/>
        <v>0.87000000000000099</v>
      </c>
      <c r="AA62" s="127"/>
      <c r="AB62" s="207" t="s">
        <v>147</v>
      </c>
      <c r="AC62" s="196">
        <v>1.8</v>
      </c>
      <c r="AD62" s="127"/>
      <c r="AE62" s="197"/>
      <c r="AF62" s="197"/>
      <c r="AG62" s="209" t="s">
        <v>137</v>
      </c>
      <c r="AH62" s="127" t="s">
        <v>138</v>
      </c>
      <c r="AI62" s="127">
        <v>0</v>
      </c>
      <c r="AJ62" s="127">
        <v>0</v>
      </c>
      <c r="AK62" s="127">
        <f t="shared" si="32"/>
        <v>0</v>
      </c>
      <c r="AL62" s="127">
        <f t="shared" si="33"/>
        <v>0</v>
      </c>
      <c r="AM62" s="127">
        <v>0</v>
      </c>
      <c r="AN62" s="127"/>
      <c r="AO62" s="127"/>
      <c r="AP62" s="127"/>
      <c r="AQ62" s="127"/>
      <c r="AR62" s="127"/>
      <c r="AS62" s="127"/>
      <c r="AT62" s="127"/>
      <c r="AU62" s="127"/>
      <c r="AV62" s="127"/>
      <c r="AW62" s="127"/>
      <c r="AX62" s="127"/>
      <c r="AY62" s="127"/>
      <c r="AZ62" s="127"/>
      <c r="BA62" s="127"/>
      <c r="BB62" s="127"/>
    </row>
    <row r="63" spans="1:54" ht="12" x14ac:dyDescent="0.3">
      <c r="A63" s="223" t="s">
        <v>29</v>
      </c>
      <c r="B63" s="223" t="s">
        <v>162</v>
      </c>
      <c r="C63" s="134" t="s">
        <v>209</v>
      </c>
      <c r="D63" s="200" t="s">
        <v>171</v>
      </c>
      <c r="E63" s="200" t="s">
        <v>147</v>
      </c>
      <c r="F63" s="208" t="s">
        <v>148</v>
      </c>
      <c r="G63" s="130" t="s">
        <v>166</v>
      </c>
      <c r="H63" s="200" t="s">
        <v>145</v>
      </c>
      <c r="I63" s="127" t="str">
        <f t="shared" si="21"/>
        <v>U Space</v>
      </c>
      <c r="J63" s="130">
        <v>3</v>
      </c>
      <c r="K63" s="130">
        <v>3</v>
      </c>
      <c r="L63" s="202">
        <f t="shared" si="22"/>
        <v>0</v>
      </c>
      <c r="M63" s="127">
        <f t="shared" si="23"/>
        <v>3</v>
      </c>
      <c r="N63" s="127">
        <f t="shared" si="24"/>
        <v>0</v>
      </c>
      <c r="O63" s="196"/>
      <c r="P63" s="204" t="str">
        <f t="shared" si="25"/>
        <v>Rated</v>
      </c>
      <c r="Q63" s="200" t="s">
        <v>6</v>
      </c>
      <c r="R63" s="130">
        <v>0.75</v>
      </c>
      <c r="S63" s="228">
        <v>0.36599999999999999</v>
      </c>
      <c r="T63" s="195">
        <f t="shared" si="26"/>
        <v>0.38400000000000001</v>
      </c>
      <c r="U63" s="196">
        <v>0</v>
      </c>
      <c r="V63" s="196">
        <f t="shared" si="27"/>
        <v>0.192</v>
      </c>
      <c r="W63" s="196">
        <f t="shared" si="28"/>
        <v>0.375</v>
      </c>
      <c r="X63" s="196">
        <f t="shared" si="29"/>
        <v>0.36599999999999999</v>
      </c>
      <c r="Y63" s="196">
        <f t="shared" si="30"/>
        <v>0.36599999999999999</v>
      </c>
      <c r="Z63" s="196">
        <f t="shared" si="31"/>
        <v>-0.38400000000000001</v>
      </c>
      <c r="AA63" s="127"/>
      <c r="AB63" s="207" t="s">
        <v>147</v>
      </c>
      <c r="AC63" s="196">
        <v>1.8</v>
      </c>
      <c r="AD63" s="127"/>
      <c r="AE63" s="197"/>
      <c r="AF63" s="197"/>
      <c r="AG63" s="209" t="s">
        <v>137</v>
      </c>
      <c r="AH63" s="127" t="s">
        <v>138</v>
      </c>
      <c r="AI63" s="127">
        <v>0</v>
      </c>
      <c r="AJ63" s="127">
        <v>0</v>
      </c>
      <c r="AK63" s="127">
        <f t="shared" si="32"/>
        <v>0</v>
      </c>
      <c r="AL63" s="127">
        <f t="shared" si="33"/>
        <v>0</v>
      </c>
      <c r="AM63" s="127">
        <v>0</v>
      </c>
      <c r="AN63" s="127"/>
      <c r="AO63" s="127"/>
      <c r="AP63" s="127"/>
      <c r="AQ63" s="127"/>
      <c r="AR63" s="127"/>
      <c r="AS63" s="127"/>
      <c r="AT63" s="127"/>
      <c r="AU63" s="127"/>
      <c r="AV63" s="127"/>
      <c r="AW63" s="127"/>
      <c r="AX63" s="127"/>
      <c r="AY63" s="127"/>
      <c r="AZ63" s="127"/>
      <c r="BA63" s="127"/>
      <c r="BB63" s="127"/>
    </row>
    <row r="64" spans="1:54" ht="12" x14ac:dyDescent="0.25">
      <c r="A64" s="223" t="s">
        <v>29</v>
      </c>
      <c r="B64" s="223" t="s">
        <v>162</v>
      </c>
      <c r="C64" s="133" t="s">
        <v>210</v>
      </c>
      <c r="D64" s="200" t="s">
        <v>171</v>
      </c>
      <c r="E64" s="200" t="s">
        <v>147</v>
      </c>
      <c r="F64" s="208" t="s">
        <v>148</v>
      </c>
      <c r="G64" s="130" t="s">
        <v>166</v>
      </c>
      <c r="H64" s="200" t="s">
        <v>145</v>
      </c>
      <c r="I64" s="127" t="str">
        <f t="shared" si="21"/>
        <v>U Space</v>
      </c>
      <c r="J64" s="130">
        <v>3</v>
      </c>
      <c r="K64" s="130">
        <v>2</v>
      </c>
      <c r="L64" s="202">
        <f t="shared" si="22"/>
        <v>1</v>
      </c>
      <c r="M64" s="127">
        <f t="shared" si="23"/>
        <v>3</v>
      </c>
      <c r="N64" s="127">
        <f t="shared" si="24"/>
        <v>0</v>
      </c>
      <c r="O64" s="196"/>
      <c r="P64" s="204" t="str">
        <f t="shared" si="25"/>
        <v>Rated</v>
      </c>
      <c r="Q64" s="200" t="s">
        <v>6</v>
      </c>
      <c r="R64" s="130">
        <v>1</v>
      </c>
      <c r="S64" s="228">
        <v>0.83299999999999996</v>
      </c>
      <c r="T64" s="195">
        <f t="shared" si="26"/>
        <v>0.16700000000000004</v>
      </c>
      <c r="U64" s="196">
        <v>0</v>
      </c>
      <c r="V64" s="196">
        <f t="shared" si="27"/>
        <v>8.3500000000000019E-2</v>
      </c>
      <c r="W64" s="196">
        <f t="shared" si="28"/>
        <v>0.5</v>
      </c>
      <c r="X64" s="196">
        <f t="shared" si="29"/>
        <v>0.83299999999999996</v>
      </c>
      <c r="Y64" s="196">
        <f t="shared" si="30"/>
        <v>0.83299999999999996</v>
      </c>
      <c r="Z64" s="196">
        <f t="shared" si="31"/>
        <v>-0.16700000000000004</v>
      </c>
      <c r="AA64" s="127"/>
      <c r="AB64" s="207" t="s">
        <v>147</v>
      </c>
      <c r="AC64" s="196">
        <v>1.8</v>
      </c>
      <c r="AD64" s="127"/>
      <c r="AE64" s="197"/>
      <c r="AF64" s="197"/>
      <c r="AG64" s="209" t="s">
        <v>137</v>
      </c>
      <c r="AH64" s="127" t="s">
        <v>138</v>
      </c>
      <c r="AI64" s="127">
        <v>0</v>
      </c>
      <c r="AJ64" s="127">
        <v>0</v>
      </c>
      <c r="AK64" s="127">
        <f t="shared" si="32"/>
        <v>0</v>
      </c>
      <c r="AL64" s="127">
        <f t="shared" si="33"/>
        <v>0</v>
      </c>
      <c r="AM64" s="127">
        <v>0</v>
      </c>
      <c r="AN64" s="127"/>
      <c r="AO64" s="127"/>
      <c r="AP64" s="127"/>
      <c r="AQ64" s="127"/>
      <c r="AR64" s="127"/>
      <c r="AS64" s="127"/>
      <c r="AT64" s="127"/>
      <c r="AU64" s="127"/>
      <c r="AV64" s="127"/>
      <c r="AW64" s="127"/>
      <c r="AX64" s="127"/>
      <c r="AY64" s="127"/>
      <c r="AZ64" s="127"/>
      <c r="BA64" s="127"/>
      <c r="BB64" s="127"/>
    </row>
    <row r="65" spans="1:54" ht="12" x14ac:dyDescent="0.25">
      <c r="A65" s="223" t="s">
        <v>29</v>
      </c>
      <c r="B65" s="223" t="s">
        <v>149</v>
      </c>
      <c r="C65" s="133" t="s">
        <v>211</v>
      </c>
      <c r="D65" s="200" t="s">
        <v>171</v>
      </c>
      <c r="E65" s="200" t="s">
        <v>147</v>
      </c>
      <c r="F65" s="208" t="s">
        <v>148</v>
      </c>
      <c r="G65" s="130" t="s">
        <v>133</v>
      </c>
      <c r="H65" s="200" t="s">
        <v>145</v>
      </c>
      <c r="I65" s="127" t="str">
        <f t="shared" si="21"/>
        <v>No of Racks</v>
      </c>
      <c r="J65" s="130">
        <v>1</v>
      </c>
      <c r="K65" s="130">
        <v>1</v>
      </c>
      <c r="L65" s="202">
        <f t="shared" si="22"/>
        <v>0</v>
      </c>
      <c r="M65" s="127">
        <f t="shared" si="23"/>
        <v>1</v>
      </c>
      <c r="N65" s="127">
        <f t="shared" si="24"/>
        <v>0</v>
      </c>
      <c r="O65" s="196"/>
      <c r="P65" s="204" t="str">
        <f t="shared" si="25"/>
        <v>Rated</v>
      </c>
      <c r="Q65" s="200" t="s">
        <v>6</v>
      </c>
      <c r="R65" s="252">
        <v>3</v>
      </c>
      <c r="S65" s="228">
        <v>0.71099999999999997</v>
      </c>
      <c r="T65" s="195">
        <f t="shared" si="26"/>
        <v>2.2890000000000001</v>
      </c>
      <c r="U65" s="196">
        <v>0</v>
      </c>
      <c r="V65" s="196">
        <f t="shared" si="27"/>
        <v>1.1445000000000001</v>
      </c>
      <c r="W65" s="196">
        <f t="shared" si="28"/>
        <v>1.5</v>
      </c>
      <c r="X65" s="196">
        <f t="shared" si="29"/>
        <v>0.71099999999999997</v>
      </c>
      <c r="Y65" s="196">
        <f t="shared" si="30"/>
        <v>0.71099999999999997</v>
      </c>
      <c r="Z65" s="196">
        <f t="shared" si="31"/>
        <v>-2.2890000000000001</v>
      </c>
      <c r="AA65" s="127"/>
      <c r="AB65" s="207" t="s">
        <v>147</v>
      </c>
      <c r="AC65" s="196">
        <v>1.8</v>
      </c>
      <c r="AD65" s="127"/>
      <c r="AE65" s="197"/>
      <c r="AF65" s="197"/>
      <c r="AG65" s="209" t="s">
        <v>137</v>
      </c>
      <c r="AH65" s="127" t="s">
        <v>138</v>
      </c>
      <c r="AI65" s="127">
        <v>0</v>
      </c>
      <c r="AJ65" s="127">
        <v>0</v>
      </c>
      <c r="AK65" s="127">
        <f t="shared" si="32"/>
        <v>0</v>
      </c>
      <c r="AL65" s="127">
        <f t="shared" si="33"/>
        <v>0</v>
      </c>
      <c r="AM65" s="127">
        <v>0</v>
      </c>
      <c r="AN65" s="127"/>
      <c r="AO65" s="127"/>
      <c r="AP65" s="127"/>
      <c r="AQ65" s="127"/>
      <c r="AR65" s="127"/>
      <c r="AS65" s="127"/>
      <c r="AT65" s="127"/>
      <c r="AU65" s="127"/>
      <c r="AV65" s="127"/>
      <c r="AW65" s="127"/>
      <c r="AX65" s="127"/>
      <c r="AY65" s="127"/>
      <c r="AZ65" s="127"/>
      <c r="BA65" s="127"/>
      <c r="BB65" s="127"/>
    </row>
    <row r="66" spans="1:54" ht="12" x14ac:dyDescent="0.25">
      <c r="A66" s="223" t="s">
        <v>29</v>
      </c>
      <c r="B66" s="223" t="s">
        <v>162</v>
      </c>
      <c r="C66" s="133" t="s">
        <v>212</v>
      </c>
      <c r="D66" s="200" t="s">
        <v>171</v>
      </c>
      <c r="E66" s="200" t="s">
        <v>147</v>
      </c>
      <c r="F66" s="208" t="s">
        <v>148</v>
      </c>
      <c r="G66" s="130" t="s">
        <v>133</v>
      </c>
      <c r="H66" s="200" t="s">
        <v>145</v>
      </c>
      <c r="I66" s="127" t="str">
        <f t="shared" si="21"/>
        <v>No of Racks</v>
      </c>
      <c r="J66" s="130">
        <v>1</v>
      </c>
      <c r="K66" s="130">
        <v>1</v>
      </c>
      <c r="L66" s="202">
        <f t="shared" si="22"/>
        <v>0</v>
      </c>
      <c r="M66" s="127">
        <f t="shared" si="23"/>
        <v>1</v>
      </c>
      <c r="N66" s="127">
        <f t="shared" si="24"/>
        <v>0</v>
      </c>
      <c r="O66" s="196"/>
      <c r="P66" s="204" t="str">
        <f t="shared" si="25"/>
        <v>Rated</v>
      </c>
      <c r="Q66" s="200" t="s">
        <v>6</v>
      </c>
      <c r="R66" s="252">
        <v>6.25</v>
      </c>
      <c r="S66" s="228">
        <v>5.83</v>
      </c>
      <c r="T66" s="195">
        <f t="shared" si="26"/>
        <v>0.41999999999999993</v>
      </c>
      <c r="U66" s="196">
        <v>0</v>
      </c>
      <c r="V66" s="196">
        <f t="shared" si="27"/>
        <v>0.20999999999999996</v>
      </c>
      <c r="W66" s="196">
        <f t="shared" si="28"/>
        <v>3.125</v>
      </c>
      <c r="X66" s="196">
        <f t="shared" si="29"/>
        <v>5.83</v>
      </c>
      <c r="Y66" s="196">
        <f t="shared" si="30"/>
        <v>5.83</v>
      </c>
      <c r="Z66" s="196">
        <f t="shared" si="31"/>
        <v>-0.41999999999999993</v>
      </c>
      <c r="AA66" s="127"/>
      <c r="AB66" s="207" t="s">
        <v>147</v>
      </c>
      <c r="AC66" s="196">
        <v>1.8</v>
      </c>
      <c r="AD66" s="127"/>
      <c r="AE66" s="197"/>
      <c r="AF66" s="197"/>
      <c r="AG66" s="209" t="s">
        <v>137</v>
      </c>
      <c r="AH66" s="127" t="s">
        <v>138</v>
      </c>
      <c r="AI66" s="127">
        <v>0</v>
      </c>
      <c r="AJ66" s="127">
        <v>0</v>
      </c>
      <c r="AK66" s="127">
        <f t="shared" si="32"/>
        <v>0</v>
      </c>
      <c r="AL66" s="127">
        <f t="shared" si="33"/>
        <v>0</v>
      </c>
      <c r="AM66" s="127">
        <v>0</v>
      </c>
      <c r="AN66" s="127"/>
      <c r="AO66" s="127"/>
      <c r="AP66" s="127"/>
      <c r="AQ66" s="127"/>
      <c r="AR66" s="127"/>
      <c r="AS66" s="127"/>
      <c r="AT66" s="127"/>
      <c r="AU66" s="127"/>
      <c r="AV66" s="127"/>
      <c r="AW66" s="127"/>
      <c r="AX66" s="127"/>
      <c r="AY66" s="127"/>
      <c r="AZ66" s="127"/>
      <c r="BA66" s="127"/>
      <c r="BB66" s="127"/>
    </row>
    <row r="67" spans="1:54" ht="12" x14ac:dyDescent="0.3">
      <c r="A67" s="223" t="s">
        <v>29</v>
      </c>
      <c r="B67" s="223" t="s">
        <v>162</v>
      </c>
      <c r="C67" s="134" t="s">
        <v>213</v>
      </c>
      <c r="D67" s="200" t="s">
        <v>171</v>
      </c>
      <c r="E67" s="200" t="s">
        <v>147</v>
      </c>
      <c r="F67" s="208" t="s">
        <v>148</v>
      </c>
      <c r="G67" s="130" t="s">
        <v>166</v>
      </c>
      <c r="H67" s="200" t="s">
        <v>145</v>
      </c>
      <c r="I67" s="127" t="str">
        <f t="shared" si="21"/>
        <v>U Space</v>
      </c>
      <c r="J67" s="130">
        <v>2</v>
      </c>
      <c r="K67" s="130">
        <v>2</v>
      </c>
      <c r="L67" s="202">
        <f t="shared" si="22"/>
        <v>0</v>
      </c>
      <c r="M67" s="127">
        <f t="shared" si="23"/>
        <v>2</v>
      </c>
      <c r="N67" s="127">
        <f t="shared" si="24"/>
        <v>0</v>
      </c>
      <c r="O67" s="196"/>
      <c r="P67" s="204" t="str">
        <f t="shared" si="25"/>
        <v>Rated</v>
      </c>
      <c r="Q67" s="200" t="s">
        <v>6</v>
      </c>
      <c r="R67" s="252">
        <v>0.5</v>
      </c>
      <c r="S67" s="228">
        <v>0.13800000000000001</v>
      </c>
      <c r="T67" s="195">
        <f t="shared" si="26"/>
        <v>0.36199999999999999</v>
      </c>
      <c r="U67" s="196">
        <v>0</v>
      </c>
      <c r="V67" s="196">
        <f t="shared" si="27"/>
        <v>0.18099999999999999</v>
      </c>
      <c r="W67" s="196">
        <f t="shared" si="28"/>
        <v>0.25</v>
      </c>
      <c r="X67" s="196">
        <f t="shared" si="29"/>
        <v>0.13800000000000001</v>
      </c>
      <c r="Y67" s="196">
        <f t="shared" si="30"/>
        <v>0.13800000000000001</v>
      </c>
      <c r="Z67" s="196">
        <f t="shared" si="31"/>
        <v>-0.36199999999999999</v>
      </c>
      <c r="AA67" s="127"/>
      <c r="AB67" s="207" t="s">
        <v>147</v>
      </c>
      <c r="AC67" s="196">
        <v>1.8</v>
      </c>
      <c r="AD67" s="127"/>
      <c r="AE67" s="197"/>
      <c r="AF67" s="197"/>
      <c r="AG67" s="209" t="s">
        <v>137</v>
      </c>
      <c r="AH67" s="127" t="s">
        <v>138</v>
      </c>
      <c r="AI67" s="127">
        <v>0</v>
      </c>
      <c r="AJ67" s="127">
        <v>0</v>
      </c>
      <c r="AK67" s="127">
        <f t="shared" si="32"/>
        <v>0</v>
      </c>
      <c r="AL67" s="127">
        <f t="shared" si="33"/>
        <v>0</v>
      </c>
      <c r="AM67" s="127">
        <v>0</v>
      </c>
      <c r="AN67" s="127"/>
      <c r="AO67" s="127"/>
      <c r="AP67" s="127"/>
      <c r="AQ67" s="127"/>
      <c r="AR67" s="127"/>
      <c r="AS67" s="127"/>
      <c r="AT67" s="127"/>
      <c r="AU67" s="127"/>
      <c r="AV67" s="127"/>
      <c r="AW67" s="127"/>
      <c r="AX67" s="127"/>
      <c r="AY67" s="127"/>
      <c r="AZ67" s="127"/>
      <c r="BA67" s="127"/>
      <c r="BB67" s="127"/>
    </row>
    <row r="68" spans="1:54" ht="12" x14ac:dyDescent="0.3">
      <c r="A68" s="223" t="s">
        <v>29</v>
      </c>
      <c r="B68" s="223" t="s">
        <v>162</v>
      </c>
      <c r="C68" s="134" t="s">
        <v>214</v>
      </c>
      <c r="D68" s="200" t="s">
        <v>171</v>
      </c>
      <c r="E68" s="200" t="s">
        <v>147</v>
      </c>
      <c r="F68" s="208" t="s">
        <v>148</v>
      </c>
      <c r="G68" s="130" t="s">
        <v>166</v>
      </c>
      <c r="H68" s="200" t="s">
        <v>145</v>
      </c>
      <c r="I68" s="127" t="str">
        <f t="shared" ref="I68:I91" si="34">IF(G68="Rack","No of Racks",(IF(G68="Space","Sq Ft","U Space")))</f>
        <v>U Space</v>
      </c>
      <c r="J68" s="130">
        <v>1</v>
      </c>
      <c r="K68" s="130">
        <v>1</v>
      </c>
      <c r="L68" s="202">
        <f t="shared" ref="L68:L91" si="35">J68-K68</f>
        <v>0</v>
      </c>
      <c r="M68" s="127">
        <f t="shared" ref="M68:M91" si="36">J68</f>
        <v>1</v>
      </c>
      <c r="N68" s="127">
        <f t="shared" ref="N68:N91" si="37">J68-M68</f>
        <v>0</v>
      </c>
      <c r="O68" s="196"/>
      <c r="P68" s="204" t="str">
        <f t="shared" ref="P68:P90" si="38">E68</f>
        <v>Rated</v>
      </c>
      <c r="Q68" s="200" t="s">
        <v>6</v>
      </c>
      <c r="R68" s="252">
        <v>0.25</v>
      </c>
      <c r="S68" s="228">
        <v>0.26</v>
      </c>
      <c r="T68" s="195">
        <f t="shared" ref="T68:T91" si="39">R68-S68</f>
        <v>-1.0000000000000009E-2</v>
      </c>
      <c r="U68" s="196">
        <v>0</v>
      </c>
      <c r="V68" s="196">
        <f t="shared" si="27"/>
        <v>0</v>
      </c>
      <c r="W68" s="196">
        <f t="shared" si="28"/>
        <v>0.125</v>
      </c>
      <c r="X68" s="196">
        <f t="shared" ref="X68:X91" si="40">S68</f>
        <v>0.26</v>
      </c>
      <c r="Y68" s="196">
        <f t="shared" ref="Y68:Y91" si="41">S68</f>
        <v>0.26</v>
      </c>
      <c r="Z68" s="196">
        <f t="shared" ref="Z68:Z91" si="42">T68*-1</f>
        <v>1.0000000000000009E-2</v>
      </c>
      <c r="AA68" s="127"/>
      <c r="AB68" s="207" t="s">
        <v>147</v>
      </c>
      <c r="AC68" s="196">
        <v>1.8</v>
      </c>
      <c r="AD68" s="127"/>
      <c r="AE68" s="197"/>
      <c r="AF68" s="197"/>
      <c r="AG68" s="209" t="s">
        <v>137</v>
      </c>
      <c r="AH68" s="127" t="s">
        <v>138</v>
      </c>
      <c r="AI68" s="127">
        <v>0</v>
      </c>
      <c r="AJ68" s="127">
        <v>0</v>
      </c>
      <c r="AK68" s="127">
        <f t="shared" ref="AK68:AK91" si="43">AI68-AJ68</f>
        <v>0</v>
      </c>
      <c r="AL68" s="127">
        <f t="shared" ref="AL68:AL91" si="44">AI68</f>
        <v>0</v>
      </c>
      <c r="AM68" s="127">
        <v>0</v>
      </c>
      <c r="AN68" s="127"/>
      <c r="AO68" s="127"/>
      <c r="AP68" s="127"/>
      <c r="AQ68" s="127"/>
      <c r="AR68" s="127"/>
      <c r="AS68" s="127"/>
      <c r="AT68" s="127"/>
      <c r="AU68" s="127"/>
      <c r="AV68" s="127"/>
      <c r="AW68" s="127"/>
      <c r="AX68" s="127"/>
      <c r="AY68" s="127"/>
      <c r="AZ68" s="127"/>
      <c r="BA68" s="127"/>
      <c r="BB68" s="127"/>
    </row>
    <row r="69" spans="1:54" ht="12" x14ac:dyDescent="0.3">
      <c r="A69" s="223" t="s">
        <v>29</v>
      </c>
      <c r="B69" s="223" t="s">
        <v>162</v>
      </c>
      <c r="C69" s="134" t="s">
        <v>215</v>
      </c>
      <c r="D69" s="200" t="s">
        <v>171</v>
      </c>
      <c r="E69" s="200" t="s">
        <v>147</v>
      </c>
      <c r="F69" s="208" t="s">
        <v>148</v>
      </c>
      <c r="G69" s="130" t="s">
        <v>133</v>
      </c>
      <c r="H69" s="200" t="s">
        <v>145</v>
      </c>
      <c r="I69" s="127" t="str">
        <f t="shared" si="34"/>
        <v>No of Racks</v>
      </c>
      <c r="J69" s="130">
        <v>2</v>
      </c>
      <c r="K69" s="130">
        <v>2</v>
      </c>
      <c r="L69" s="202">
        <f t="shared" si="35"/>
        <v>0</v>
      </c>
      <c r="M69" s="127">
        <f t="shared" si="36"/>
        <v>2</v>
      </c>
      <c r="N69" s="127">
        <f t="shared" si="37"/>
        <v>0</v>
      </c>
      <c r="O69" s="196"/>
      <c r="P69" s="204" t="str">
        <f t="shared" si="38"/>
        <v>Rated</v>
      </c>
      <c r="Q69" s="200" t="s">
        <v>6</v>
      </c>
      <c r="R69" s="252">
        <v>12</v>
      </c>
      <c r="S69" s="228">
        <v>11.4</v>
      </c>
      <c r="T69" s="195">
        <f t="shared" si="39"/>
        <v>0.59999999999999964</v>
      </c>
      <c r="U69" s="196">
        <v>0</v>
      </c>
      <c r="V69" s="196">
        <f t="shared" si="27"/>
        <v>0.29999999999999982</v>
      </c>
      <c r="W69" s="196">
        <f t="shared" si="28"/>
        <v>6</v>
      </c>
      <c r="X69" s="196">
        <f t="shared" si="40"/>
        <v>11.4</v>
      </c>
      <c r="Y69" s="196">
        <f t="shared" si="41"/>
        <v>11.4</v>
      </c>
      <c r="Z69" s="196">
        <f t="shared" si="42"/>
        <v>-0.59999999999999964</v>
      </c>
      <c r="AA69" s="127"/>
      <c r="AB69" s="207" t="s">
        <v>147</v>
      </c>
      <c r="AC69" s="196">
        <v>1.8</v>
      </c>
      <c r="AD69" s="127"/>
      <c r="AE69" s="197"/>
      <c r="AF69" s="197"/>
      <c r="AG69" s="209" t="s">
        <v>137</v>
      </c>
      <c r="AH69" s="127" t="s">
        <v>138</v>
      </c>
      <c r="AI69" s="127">
        <v>0</v>
      </c>
      <c r="AJ69" s="127">
        <v>0</v>
      </c>
      <c r="AK69" s="127">
        <f t="shared" si="43"/>
        <v>0</v>
      </c>
      <c r="AL69" s="127">
        <f t="shared" si="44"/>
        <v>0</v>
      </c>
      <c r="AM69" s="127">
        <v>0</v>
      </c>
      <c r="AN69" s="127"/>
      <c r="AO69" s="127"/>
      <c r="AP69" s="127"/>
      <c r="AQ69" s="127"/>
      <c r="AR69" s="127"/>
      <c r="AS69" s="127"/>
      <c r="AT69" s="127"/>
      <c r="AU69" s="127"/>
      <c r="AV69" s="127"/>
      <c r="AW69" s="127"/>
      <c r="AX69" s="127"/>
      <c r="AY69" s="127"/>
      <c r="AZ69" s="127"/>
      <c r="BA69" s="127"/>
      <c r="BB69" s="127"/>
    </row>
    <row r="70" spans="1:54" ht="12" x14ac:dyDescent="0.25">
      <c r="A70" s="223" t="s">
        <v>29</v>
      </c>
      <c r="B70" s="223" t="s">
        <v>216</v>
      </c>
      <c r="C70" s="133" t="s">
        <v>217</v>
      </c>
      <c r="D70" s="200" t="s">
        <v>171</v>
      </c>
      <c r="E70" s="200" t="s">
        <v>147</v>
      </c>
      <c r="F70" s="208" t="s">
        <v>148</v>
      </c>
      <c r="G70" s="199" t="s">
        <v>133</v>
      </c>
      <c r="H70" s="200" t="s">
        <v>145</v>
      </c>
      <c r="I70" s="127" t="str">
        <f t="shared" si="34"/>
        <v>No of Racks</v>
      </c>
      <c r="J70" s="228">
        <v>2</v>
      </c>
      <c r="K70" s="228">
        <v>2</v>
      </c>
      <c r="L70" s="202">
        <f t="shared" si="35"/>
        <v>0</v>
      </c>
      <c r="M70" s="127">
        <f t="shared" si="36"/>
        <v>2</v>
      </c>
      <c r="N70" s="127">
        <f t="shared" si="37"/>
        <v>0</v>
      </c>
      <c r="O70" s="196"/>
      <c r="P70" s="204" t="str">
        <f t="shared" si="38"/>
        <v>Rated</v>
      </c>
      <c r="Q70" s="200" t="s">
        <v>6</v>
      </c>
      <c r="R70" s="219">
        <v>8</v>
      </c>
      <c r="S70" s="228">
        <v>4.01</v>
      </c>
      <c r="T70" s="195">
        <f t="shared" si="39"/>
        <v>3.99</v>
      </c>
      <c r="U70" s="196">
        <v>0</v>
      </c>
      <c r="V70" s="196">
        <f t="shared" si="27"/>
        <v>1.9950000000000001</v>
      </c>
      <c r="W70" s="196">
        <f t="shared" si="28"/>
        <v>4</v>
      </c>
      <c r="X70" s="196">
        <f t="shared" si="40"/>
        <v>4.01</v>
      </c>
      <c r="Y70" s="196">
        <f t="shared" si="41"/>
        <v>4.01</v>
      </c>
      <c r="Z70" s="196">
        <f t="shared" si="42"/>
        <v>-3.99</v>
      </c>
      <c r="AA70" s="127"/>
      <c r="AB70" s="207" t="s">
        <v>147</v>
      </c>
      <c r="AC70" s="196">
        <v>1.8</v>
      </c>
      <c r="AD70" s="127"/>
      <c r="AE70" s="197"/>
      <c r="AF70" s="197"/>
      <c r="AG70" s="209" t="s">
        <v>137</v>
      </c>
      <c r="AH70" s="127" t="s">
        <v>138</v>
      </c>
      <c r="AI70" s="127">
        <v>0</v>
      </c>
      <c r="AJ70" s="127">
        <v>0</v>
      </c>
      <c r="AK70" s="127">
        <f t="shared" si="43"/>
        <v>0</v>
      </c>
      <c r="AL70" s="127">
        <f t="shared" si="44"/>
        <v>0</v>
      </c>
      <c r="AM70" s="127">
        <v>0</v>
      </c>
      <c r="AN70" s="127"/>
      <c r="AO70" s="127"/>
      <c r="AP70" s="127"/>
      <c r="AQ70" s="127"/>
      <c r="AR70" s="127"/>
      <c r="AS70" s="127"/>
      <c r="AT70" s="127"/>
      <c r="AU70" s="127"/>
      <c r="AV70" s="127"/>
      <c r="AW70" s="127"/>
      <c r="AX70" s="127"/>
      <c r="AY70" s="127"/>
      <c r="AZ70" s="127"/>
      <c r="BA70" s="127"/>
      <c r="BB70" s="127"/>
    </row>
    <row r="71" spans="1:54" ht="12" x14ac:dyDescent="0.25">
      <c r="A71" s="223" t="s">
        <v>29</v>
      </c>
      <c r="B71" s="223" t="s">
        <v>162</v>
      </c>
      <c r="C71" s="133" t="s">
        <v>218</v>
      </c>
      <c r="D71" s="200" t="s">
        <v>171</v>
      </c>
      <c r="E71" s="200" t="s">
        <v>147</v>
      </c>
      <c r="F71" s="208" t="s">
        <v>148</v>
      </c>
      <c r="G71" s="199" t="s">
        <v>133</v>
      </c>
      <c r="H71" s="200" t="s">
        <v>145</v>
      </c>
      <c r="I71" s="127" t="str">
        <f t="shared" si="34"/>
        <v>No of Racks</v>
      </c>
      <c r="J71" s="228">
        <v>4</v>
      </c>
      <c r="K71" s="228">
        <v>4</v>
      </c>
      <c r="L71" s="202">
        <f t="shared" si="35"/>
        <v>0</v>
      </c>
      <c r="M71" s="127">
        <f t="shared" si="36"/>
        <v>4</v>
      </c>
      <c r="N71" s="127">
        <f t="shared" si="37"/>
        <v>0</v>
      </c>
      <c r="O71" s="196"/>
      <c r="P71" s="204" t="str">
        <f t="shared" si="38"/>
        <v>Rated</v>
      </c>
      <c r="Q71" s="200" t="s">
        <v>6</v>
      </c>
      <c r="R71" s="219">
        <v>24</v>
      </c>
      <c r="S71" s="228">
        <v>36.799999999999997</v>
      </c>
      <c r="T71" s="195">
        <f t="shared" si="39"/>
        <v>-12.799999999999997</v>
      </c>
      <c r="U71" s="196">
        <v>0</v>
      </c>
      <c r="V71" s="196">
        <f t="shared" si="27"/>
        <v>0</v>
      </c>
      <c r="W71" s="196">
        <f t="shared" si="28"/>
        <v>12</v>
      </c>
      <c r="X71" s="196">
        <f t="shared" si="40"/>
        <v>36.799999999999997</v>
      </c>
      <c r="Y71" s="196">
        <f t="shared" si="41"/>
        <v>36.799999999999997</v>
      </c>
      <c r="Z71" s="196">
        <f t="shared" si="42"/>
        <v>12.799999999999997</v>
      </c>
      <c r="AA71" s="127"/>
      <c r="AB71" s="207" t="s">
        <v>147</v>
      </c>
      <c r="AC71" s="196">
        <v>1.8</v>
      </c>
      <c r="AD71" s="127"/>
      <c r="AE71" s="197"/>
      <c r="AF71" s="197"/>
      <c r="AG71" s="209" t="s">
        <v>137</v>
      </c>
      <c r="AH71" s="127" t="s">
        <v>138</v>
      </c>
      <c r="AI71" s="127">
        <v>0</v>
      </c>
      <c r="AJ71" s="127">
        <v>0</v>
      </c>
      <c r="AK71" s="127">
        <f t="shared" si="43"/>
        <v>0</v>
      </c>
      <c r="AL71" s="127">
        <f t="shared" si="44"/>
        <v>0</v>
      </c>
      <c r="AM71" s="127">
        <v>0</v>
      </c>
      <c r="AN71" s="127"/>
      <c r="AO71" s="127"/>
      <c r="AP71" s="127"/>
      <c r="AQ71" s="127"/>
      <c r="AR71" s="127"/>
      <c r="AS71" s="127"/>
      <c r="AT71" s="127"/>
      <c r="AU71" s="127"/>
      <c r="AV71" s="127"/>
      <c r="AW71" s="127"/>
      <c r="AX71" s="127"/>
      <c r="AY71" s="127"/>
      <c r="AZ71" s="127"/>
      <c r="BA71" s="127"/>
      <c r="BB71" s="127"/>
    </row>
    <row r="72" spans="1:54" ht="12" x14ac:dyDescent="0.3">
      <c r="A72" s="223" t="s">
        <v>29</v>
      </c>
      <c r="B72" s="223" t="s">
        <v>162</v>
      </c>
      <c r="C72" s="134" t="s">
        <v>219</v>
      </c>
      <c r="D72" s="200" t="s">
        <v>171</v>
      </c>
      <c r="E72" s="200" t="s">
        <v>147</v>
      </c>
      <c r="F72" s="208" t="s">
        <v>148</v>
      </c>
      <c r="G72" s="130" t="s">
        <v>166</v>
      </c>
      <c r="H72" s="200" t="s">
        <v>145</v>
      </c>
      <c r="I72" s="127" t="str">
        <f t="shared" si="34"/>
        <v>U Space</v>
      </c>
      <c r="J72" s="130">
        <v>21</v>
      </c>
      <c r="K72" s="130">
        <v>1</v>
      </c>
      <c r="L72" s="202">
        <f t="shared" si="35"/>
        <v>20</v>
      </c>
      <c r="M72" s="127">
        <f t="shared" si="36"/>
        <v>21</v>
      </c>
      <c r="N72" s="127">
        <f t="shared" si="37"/>
        <v>0</v>
      </c>
      <c r="O72" s="196"/>
      <c r="P72" s="204" t="str">
        <f t="shared" si="38"/>
        <v>Rated</v>
      </c>
      <c r="Q72" s="200" t="s">
        <v>6</v>
      </c>
      <c r="R72" s="252">
        <v>1.75</v>
      </c>
      <c r="S72" s="228">
        <v>0.17</v>
      </c>
      <c r="T72" s="195">
        <f t="shared" si="39"/>
        <v>1.58</v>
      </c>
      <c r="U72" s="196">
        <v>0</v>
      </c>
      <c r="V72" s="196">
        <f t="shared" si="27"/>
        <v>0.79</v>
      </c>
      <c r="W72" s="196">
        <f t="shared" si="28"/>
        <v>0.875</v>
      </c>
      <c r="X72" s="196">
        <f t="shared" si="40"/>
        <v>0.17</v>
      </c>
      <c r="Y72" s="196">
        <f t="shared" si="41"/>
        <v>0.17</v>
      </c>
      <c r="Z72" s="196">
        <f t="shared" si="42"/>
        <v>-1.58</v>
      </c>
      <c r="AA72" s="127"/>
      <c r="AB72" s="207" t="s">
        <v>147</v>
      </c>
      <c r="AC72" s="196">
        <v>1.8</v>
      </c>
      <c r="AD72" s="127"/>
      <c r="AE72" s="197"/>
      <c r="AF72" s="197"/>
      <c r="AG72" s="209" t="s">
        <v>137</v>
      </c>
      <c r="AH72" s="127" t="s">
        <v>138</v>
      </c>
      <c r="AI72" s="127">
        <v>0</v>
      </c>
      <c r="AJ72" s="127">
        <v>0</v>
      </c>
      <c r="AK72" s="127">
        <f t="shared" si="43"/>
        <v>0</v>
      </c>
      <c r="AL72" s="127">
        <f t="shared" si="44"/>
        <v>0</v>
      </c>
      <c r="AM72" s="127">
        <v>0</v>
      </c>
      <c r="AN72" s="127"/>
      <c r="AO72" s="127"/>
      <c r="AP72" s="127"/>
      <c r="AQ72" s="127"/>
      <c r="AR72" s="127"/>
      <c r="AS72" s="127"/>
      <c r="AT72" s="127"/>
      <c r="AU72" s="127"/>
      <c r="AV72" s="127"/>
      <c r="AW72" s="127"/>
      <c r="AX72" s="127"/>
      <c r="AY72" s="127"/>
      <c r="AZ72" s="127"/>
      <c r="BA72" s="127"/>
      <c r="BB72" s="127"/>
    </row>
    <row r="73" spans="1:54" ht="12" x14ac:dyDescent="0.25">
      <c r="A73" s="223" t="s">
        <v>29</v>
      </c>
      <c r="B73" s="223" t="s">
        <v>162</v>
      </c>
      <c r="C73" s="133" t="s">
        <v>220</v>
      </c>
      <c r="D73" s="200" t="s">
        <v>171</v>
      </c>
      <c r="E73" s="200" t="s">
        <v>147</v>
      </c>
      <c r="F73" s="208" t="s">
        <v>148</v>
      </c>
      <c r="G73" s="130" t="s">
        <v>166</v>
      </c>
      <c r="H73" s="200" t="s">
        <v>145</v>
      </c>
      <c r="I73" s="127" t="str">
        <f t="shared" si="34"/>
        <v>U Space</v>
      </c>
      <c r="J73" s="130">
        <v>4</v>
      </c>
      <c r="K73" s="130">
        <v>3</v>
      </c>
      <c r="L73" s="202">
        <f t="shared" si="35"/>
        <v>1</v>
      </c>
      <c r="M73" s="127">
        <f t="shared" si="36"/>
        <v>4</v>
      </c>
      <c r="N73" s="127">
        <f t="shared" si="37"/>
        <v>0</v>
      </c>
      <c r="O73" s="220"/>
      <c r="P73" s="204" t="str">
        <f t="shared" si="38"/>
        <v>Rated</v>
      </c>
      <c r="Q73" s="200" t="s">
        <v>6</v>
      </c>
      <c r="R73" s="252">
        <v>1</v>
      </c>
      <c r="S73" s="228">
        <v>0.60799999999999998</v>
      </c>
      <c r="T73" s="195">
        <f t="shared" si="39"/>
        <v>0.39200000000000002</v>
      </c>
      <c r="U73" s="196">
        <v>0</v>
      </c>
      <c r="V73" s="196">
        <f t="shared" si="27"/>
        <v>0.19600000000000001</v>
      </c>
      <c r="W73" s="196">
        <f t="shared" si="28"/>
        <v>0.5</v>
      </c>
      <c r="X73" s="196">
        <f t="shared" si="40"/>
        <v>0.60799999999999998</v>
      </c>
      <c r="Y73" s="196">
        <f t="shared" si="41"/>
        <v>0.60799999999999998</v>
      </c>
      <c r="Z73" s="196">
        <f t="shared" si="42"/>
        <v>-0.39200000000000002</v>
      </c>
      <c r="AA73" s="127"/>
      <c r="AB73" s="207" t="s">
        <v>147</v>
      </c>
      <c r="AC73" s="196">
        <v>1.8</v>
      </c>
      <c r="AD73" s="127"/>
      <c r="AE73" s="197"/>
      <c r="AF73" s="197"/>
      <c r="AG73" s="209" t="s">
        <v>137</v>
      </c>
      <c r="AH73" s="127" t="s">
        <v>138</v>
      </c>
      <c r="AI73" s="127">
        <v>0</v>
      </c>
      <c r="AJ73" s="127">
        <v>0</v>
      </c>
      <c r="AK73" s="127">
        <f t="shared" si="43"/>
        <v>0</v>
      </c>
      <c r="AL73" s="127">
        <f t="shared" si="44"/>
        <v>0</v>
      </c>
      <c r="AM73" s="127">
        <v>0</v>
      </c>
      <c r="AN73" s="127"/>
      <c r="AO73" s="127"/>
      <c r="AP73" s="127"/>
      <c r="AQ73" s="127"/>
      <c r="AR73" s="127"/>
      <c r="AS73" s="127"/>
      <c r="AT73" s="127"/>
      <c r="AU73" s="127"/>
      <c r="AV73" s="127"/>
      <c r="AW73" s="127"/>
      <c r="AX73" s="127"/>
      <c r="AY73" s="127"/>
      <c r="AZ73" s="127"/>
      <c r="BA73" s="127"/>
      <c r="BB73" s="127"/>
    </row>
    <row r="74" spans="1:54" ht="12" x14ac:dyDescent="0.25">
      <c r="A74" s="223" t="s">
        <v>29</v>
      </c>
      <c r="B74" s="223" t="s">
        <v>162</v>
      </c>
      <c r="C74" s="133" t="s">
        <v>223</v>
      </c>
      <c r="D74" s="200" t="s">
        <v>171</v>
      </c>
      <c r="E74" s="200" t="s">
        <v>147</v>
      </c>
      <c r="F74" s="208" t="s">
        <v>148</v>
      </c>
      <c r="G74" s="130" t="s">
        <v>166</v>
      </c>
      <c r="H74" s="200" t="s">
        <v>145</v>
      </c>
      <c r="I74" s="127" t="str">
        <f t="shared" si="34"/>
        <v>U Space</v>
      </c>
      <c r="J74" s="130">
        <v>1</v>
      </c>
      <c r="K74" s="130">
        <v>1</v>
      </c>
      <c r="L74" s="202">
        <f t="shared" si="35"/>
        <v>0</v>
      </c>
      <c r="M74" s="127">
        <f t="shared" si="36"/>
        <v>1</v>
      </c>
      <c r="N74" s="127">
        <f t="shared" si="37"/>
        <v>0</v>
      </c>
      <c r="O74" s="220">
        <f>295000/12/21</f>
        <v>1170.6349206349205</v>
      </c>
      <c r="P74" s="204" t="str">
        <f t="shared" si="38"/>
        <v>Rated</v>
      </c>
      <c r="Q74" s="200" t="s">
        <v>6</v>
      </c>
      <c r="R74" s="252">
        <v>0.25</v>
      </c>
      <c r="S74" s="228">
        <v>3.3000000000000002E-2</v>
      </c>
      <c r="T74" s="195">
        <f t="shared" si="39"/>
        <v>0.217</v>
      </c>
      <c r="U74" s="196">
        <v>0</v>
      </c>
      <c r="V74" s="196">
        <f t="shared" si="27"/>
        <v>0.1085</v>
      </c>
      <c r="W74" s="196">
        <f t="shared" si="28"/>
        <v>0.125</v>
      </c>
      <c r="X74" s="196">
        <f t="shared" si="40"/>
        <v>3.3000000000000002E-2</v>
      </c>
      <c r="Y74" s="196">
        <f t="shared" si="41"/>
        <v>3.3000000000000002E-2</v>
      </c>
      <c r="Z74" s="196">
        <f t="shared" si="42"/>
        <v>-0.217</v>
      </c>
      <c r="AA74" s="220"/>
      <c r="AB74" s="207" t="s">
        <v>147</v>
      </c>
      <c r="AC74" s="196">
        <v>1.8</v>
      </c>
      <c r="AD74" s="127"/>
      <c r="AE74" s="197"/>
      <c r="AF74" s="197"/>
      <c r="AG74" s="209" t="s">
        <v>137</v>
      </c>
      <c r="AH74" s="127" t="s">
        <v>138</v>
      </c>
      <c r="AI74" s="127">
        <v>0</v>
      </c>
      <c r="AJ74" s="127">
        <v>0</v>
      </c>
      <c r="AK74" s="127">
        <f t="shared" si="43"/>
        <v>0</v>
      </c>
      <c r="AL74" s="127">
        <f t="shared" si="44"/>
        <v>0</v>
      </c>
      <c r="AM74" s="127">
        <v>0</v>
      </c>
      <c r="AN74" s="127"/>
      <c r="AO74" s="127"/>
      <c r="AP74" s="127"/>
      <c r="AQ74" s="127"/>
      <c r="AR74" s="127"/>
      <c r="AS74" s="127"/>
      <c r="AT74" s="127"/>
      <c r="AU74" s="127"/>
      <c r="AV74" s="127"/>
      <c r="AW74" s="127"/>
      <c r="AX74" s="127"/>
      <c r="AY74" s="127"/>
      <c r="AZ74" s="127"/>
      <c r="BA74" s="127"/>
      <c r="BB74" s="127"/>
    </row>
    <row r="75" spans="1:54" ht="12" x14ac:dyDescent="0.25">
      <c r="A75" s="223" t="s">
        <v>29</v>
      </c>
      <c r="B75" s="223" t="s">
        <v>162</v>
      </c>
      <c r="C75" s="133" t="s">
        <v>224</v>
      </c>
      <c r="D75" s="200" t="s">
        <v>171</v>
      </c>
      <c r="E75" s="200" t="s">
        <v>147</v>
      </c>
      <c r="F75" s="208" t="s">
        <v>148</v>
      </c>
      <c r="G75" s="130" t="s">
        <v>166</v>
      </c>
      <c r="H75" s="200" t="s">
        <v>145</v>
      </c>
      <c r="I75" s="127" t="str">
        <f t="shared" si="34"/>
        <v>U Space</v>
      </c>
      <c r="J75" s="130">
        <v>12</v>
      </c>
      <c r="K75" s="130">
        <v>8</v>
      </c>
      <c r="L75" s="202">
        <f t="shared" si="35"/>
        <v>4</v>
      </c>
      <c r="M75" s="127">
        <f t="shared" si="36"/>
        <v>12</v>
      </c>
      <c r="N75" s="127">
        <f t="shared" si="37"/>
        <v>0</v>
      </c>
      <c r="O75" s="220"/>
      <c r="P75" s="204" t="str">
        <f t="shared" si="38"/>
        <v>Rated</v>
      </c>
      <c r="Q75" s="200" t="s">
        <v>6</v>
      </c>
      <c r="R75" s="252">
        <v>2.5</v>
      </c>
      <c r="S75" s="228">
        <v>1.3</v>
      </c>
      <c r="T75" s="195">
        <f t="shared" si="39"/>
        <v>1.2</v>
      </c>
      <c r="U75" s="196">
        <v>0</v>
      </c>
      <c r="V75" s="196">
        <f t="shared" si="27"/>
        <v>0.6</v>
      </c>
      <c r="W75" s="196">
        <f t="shared" si="28"/>
        <v>1.25</v>
      </c>
      <c r="X75" s="196">
        <f t="shared" si="40"/>
        <v>1.3</v>
      </c>
      <c r="Y75" s="196">
        <f t="shared" si="41"/>
        <v>1.3</v>
      </c>
      <c r="Z75" s="196">
        <f t="shared" si="42"/>
        <v>-1.2</v>
      </c>
      <c r="AA75" s="220">
        <f>90000/12</f>
        <v>7500</v>
      </c>
      <c r="AB75" s="207" t="s">
        <v>147</v>
      </c>
      <c r="AC75" s="196">
        <v>1.8</v>
      </c>
      <c r="AD75" s="127"/>
      <c r="AE75" s="197"/>
      <c r="AF75" s="197"/>
      <c r="AG75" s="209" t="s">
        <v>137</v>
      </c>
      <c r="AH75" s="127" t="s">
        <v>138</v>
      </c>
      <c r="AI75" s="127">
        <v>0</v>
      </c>
      <c r="AJ75" s="127">
        <v>0</v>
      </c>
      <c r="AK75" s="127">
        <f t="shared" si="43"/>
        <v>0</v>
      </c>
      <c r="AL75" s="127">
        <f t="shared" si="44"/>
        <v>0</v>
      </c>
      <c r="AM75" s="127">
        <v>0</v>
      </c>
      <c r="AN75" s="127"/>
      <c r="AO75" s="127"/>
      <c r="AP75" s="127"/>
      <c r="AQ75" s="127"/>
      <c r="AR75" s="127"/>
      <c r="AS75" s="127"/>
      <c r="AT75" s="127"/>
      <c r="AU75" s="127"/>
      <c r="AV75" s="127"/>
      <c r="AW75" s="127"/>
      <c r="AX75" s="127"/>
      <c r="AY75" s="127"/>
      <c r="AZ75" s="127"/>
      <c r="BA75" s="127"/>
      <c r="BB75" s="127"/>
    </row>
    <row r="76" spans="1:54" ht="12" x14ac:dyDescent="0.25">
      <c r="A76" s="223" t="s">
        <v>29</v>
      </c>
      <c r="B76" s="223" t="s">
        <v>162</v>
      </c>
      <c r="C76" s="133" t="s">
        <v>225</v>
      </c>
      <c r="D76" s="200" t="s">
        <v>144</v>
      </c>
      <c r="E76" s="200" t="s">
        <v>147</v>
      </c>
      <c r="F76" s="208" t="s">
        <v>148</v>
      </c>
      <c r="G76" s="130" t="s">
        <v>166</v>
      </c>
      <c r="H76" s="200" t="s">
        <v>145</v>
      </c>
      <c r="I76" s="127" t="str">
        <f t="shared" si="34"/>
        <v>U Space</v>
      </c>
      <c r="J76" s="130">
        <v>1</v>
      </c>
      <c r="K76" s="130">
        <v>1</v>
      </c>
      <c r="L76" s="202">
        <f t="shared" si="35"/>
        <v>0</v>
      </c>
      <c r="M76" s="127">
        <f t="shared" si="36"/>
        <v>1</v>
      </c>
      <c r="N76" s="127">
        <f t="shared" si="37"/>
        <v>0</v>
      </c>
      <c r="O76" s="220"/>
      <c r="P76" s="204" t="str">
        <f t="shared" si="38"/>
        <v>Rated</v>
      </c>
      <c r="Q76" s="200" t="s">
        <v>6</v>
      </c>
      <c r="R76" s="252">
        <v>0.25</v>
      </c>
      <c r="S76" s="228">
        <v>2.1999999999999999E-2</v>
      </c>
      <c r="T76" s="195">
        <f t="shared" si="39"/>
        <v>0.22800000000000001</v>
      </c>
      <c r="U76" s="196">
        <v>0</v>
      </c>
      <c r="V76" s="196">
        <f t="shared" si="27"/>
        <v>0.114</v>
      </c>
      <c r="W76" s="196">
        <f t="shared" si="28"/>
        <v>0.125</v>
      </c>
      <c r="X76" s="196">
        <f t="shared" si="40"/>
        <v>2.1999999999999999E-2</v>
      </c>
      <c r="Y76" s="196">
        <f t="shared" si="41"/>
        <v>2.1999999999999999E-2</v>
      </c>
      <c r="Z76" s="196">
        <f t="shared" si="42"/>
        <v>-0.22800000000000001</v>
      </c>
      <c r="AA76" s="220">
        <f>90000/12</f>
        <v>7500</v>
      </c>
      <c r="AB76" s="207" t="s">
        <v>147</v>
      </c>
      <c r="AC76" s="196">
        <v>1.8</v>
      </c>
      <c r="AD76" s="127"/>
      <c r="AE76" s="197"/>
      <c r="AF76" s="197"/>
      <c r="AG76" s="209" t="s">
        <v>137</v>
      </c>
      <c r="AH76" s="127" t="s">
        <v>222</v>
      </c>
      <c r="AI76" s="127">
        <v>0</v>
      </c>
      <c r="AJ76" s="127">
        <v>0</v>
      </c>
      <c r="AK76" s="127">
        <f t="shared" si="43"/>
        <v>0</v>
      </c>
      <c r="AL76" s="127">
        <f t="shared" si="44"/>
        <v>0</v>
      </c>
      <c r="AM76" s="127">
        <v>0</v>
      </c>
      <c r="AN76" s="127"/>
      <c r="AO76" s="127"/>
      <c r="AP76" s="127"/>
      <c r="AQ76" s="127"/>
      <c r="AR76" s="127"/>
      <c r="AS76" s="127"/>
      <c r="AT76" s="127"/>
      <c r="AU76" s="127"/>
      <c r="AV76" s="127"/>
      <c r="AW76" s="127"/>
      <c r="AX76" s="127"/>
      <c r="AY76" s="127"/>
      <c r="AZ76" s="127"/>
      <c r="BA76" s="127"/>
      <c r="BB76" s="127"/>
    </row>
    <row r="77" spans="1:54" ht="12" x14ac:dyDescent="0.3">
      <c r="A77" s="223" t="s">
        <v>29</v>
      </c>
      <c r="B77" s="223" t="s">
        <v>162</v>
      </c>
      <c r="C77" s="134" t="s">
        <v>226</v>
      </c>
      <c r="D77" s="200" t="s">
        <v>171</v>
      </c>
      <c r="E77" s="200" t="s">
        <v>147</v>
      </c>
      <c r="F77" s="208" t="s">
        <v>148</v>
      </c>
      <c r="G77" s="130" t="s">
        <v>133</v>
      </c>
      <c r="H77" s="200" t="s">
        <v>145</v>
      </c>
      <c r="I77" s="127" t="str">
        <f t="shared" si="34"/>
        <v>No of Racks</v>
      </c>
      <c r="J77" s="130">
        <v>46</v>
      </c>
      <c r="K77" s="130">
        <v>46</v>
      </c>
      <c r="L77" s="202">
        <f t="shared" si="35"/>
        <v>0</v>
      </c>
      <c r="M77" s="127">
        <f t="shared" si="36"/>
        <v>46</v>
      </c>
      <c r="N77" s="127">
        <f t="shared" si="37"/>
        <v>0</v>
      </c>
      <c r="O77" s="220"/>
      <c r="P77" s="204" t="str">
        <f t="shared" si="38"/>
        <v>Rated</v>
      </c>
      <c r="Q77" s="200" t="s">
        <v>6</v>
      </c>
      <c r="R77" s="252">
        <v>200</v>
      </c>
      <c r="S77" s="228">
        <v>153.03200000000001</v>
      </c>
      <c r="T77" s="195">
        <f t="shared" si="39"/>
        <v>46.967999999999989</v>
      </c>
      <c r="U77" s="196">
        <v>0</v>
      </c>
      <c r="V77" s="196">
        <f t="shared" si="27"/>
        <v>23.483999999999995</v>
      </c>
      <c r="W77" s="196">
        <f t="shared" si="28"/>
        <v>100</v>
      </c>
      <c r="X77" s="196">
        <f t="shared" si="40"/>
        <v>153.03200000000001</v>
      </c>
      <c r="Y77" s="196">
        <f t="shared" si="41"/>
        <v>153.03200000000001</v>
      </c>
      <c r="Z77" s="196">
        <f t="shared" si="42"/>
        <v>-46.967999999999989</v>
      </c>
      <c r="AA77" s="127"/>
      <c r="AB77" s="207" t="s">
        <v>147</v>
      </c>
      <c r="AC77" s="196">
        <v>1.8</v>
      </c>
      <c r="AD77" s="127"/>
      <c r="AE77" s="197"/>
      <c r="AF77" s="197"/>
      <c r="AG77" s="209" t="s">
        <v>137</v>
      </c>
      <c r="AH77" s="127" t="s">
        <v>138</v>
      </c>
      <c r="AI77" s="127">
        <v>1</v>
      </c>
      <c r="AJ77" s="127">
        <v>1</v>
      </c>
      <c r="AK77" s="127">
        <f t="shared" si="43"/>
        <v>0</v>
      </c>
      <c r="AL77" s="127">
        <f t="shared" si="44"/>
        <v>1</v>
      </c>
      <c r="AM77" s="127">
        <v>0</v>
      </c>
      <c r="AN77" s="127"/>
      <c r="AO77" s="127"/>
      <c r="AP77" s="127"/>
      <c r="AQ77" s="127"/>
      <c r="AR77" s="127"/>
      <c r="AS77" s="127"/>
      <c r="AT77" s="127"/>
      <c r="AU77" s="127"/>
      <c r="AV77" s="127"/>
      <c r="AW77" s="127"/>
      <c r="AX77" s="127"/>
      <c r="AY77" s="127"/>
      <c r="AZ77" s="127"/>
      <c r="BA77" s="127"/>
      <c r="BB77" s="127"/>
    </row>
    <row r="78" spans="1:54" ht="12" x14ac:dyDescent="0.3">
      <c r="A78" s="223" t="s">
        <v>29</v>
      </c>
      <c r="B78" s="223" t="s">
        <v>162</v>
      </c>
      <c r="C78" s="134" t="s">
        <v>227</v>
      </c>
      <c r="D78" s="200" t="s">
        <v>171</v>
      </c>
      <c r="E78" s="200" t="s">
        <v>147</v>
      </c>
      <c r="F78" s="208" t="s">
        <v>148</v>
      </c>
      <c r="G78" s="130" t="s">
        <v>133</v>
      </c>
      <c r="H78" s="200" t="s">
        <v>145</v>
      </c>
      <c r="I78" s="127" t="str">
        <f t="shared" si="34"/>
        <v>No of Racks</v>
      </c>
      <c r="J78" s="130">
        <v>7</v>
      </c>
      <c r="K78" s="130">
        <v>7</v>
      </c>
      <c r="L78" s="202">
        <f t="shared" si="35"/>
        <v>0</v>
      </c>
      <c r="M78" s="127">
        <f t="shared" si="36"/>
        <v>7</v>
      </c>
      <c r="N78" s="127">
        <f t="shared" si="37"/>
        <v>0</v>
      </c>
      <c r="O78" s="225">
        <f>490000/12</f>
        <v>40833.333333333336</v>
      </c>
      <c r="P78" s="204" t="str">
        <f t="shared" si="38"/>
        <v>Rated</v>
      </c>
      <c r="Q78" s="200" t="s">
        <v>6</v>
      </c>
      <c r="R78" s="252">
        <v>42</v>
      </c>
      <c r="S78" s="228">
        <v>40.869999999999997</v>
      </c>
      <c r="T78" s="195">
        <f t="shared" si="39"/>
        <v>1.1300000000000026</v>
      </c>
      <c r="U78" s="196">
        <v>0</v>
      </c>
      <c r="V78" s="196">
        <f t="shared" si="27"/>
        <v>0.56500000000000128</v>
      </c>
      <c r="W78" s="196">
        <f t="shared" si="28"/>
        <v>21</v>
      </c>
      <c r="X78" s="196">
        <f t="shared" si="40"/>
        <v>40.869999999999997</v>
      </c>
      <c r="Y78" s="196">
        <f t="shared" si="41"/>
        <v>40.869999999999997</v>
      </c>
      <c r="Z78" s="196">
        <f t="shared" si="42"/>
        <v>-1.1300000000000026</v>
      </c>
      <c r="AA78" s="127"/>
      <c r="AB78" s="207" t="s">
        <v>147</v>
      </c>
      <c r="AC78" s="196">
        <v>1.8</v>
      </c>
      <c r="AD78" s="127"/>
      <c r="AE78" s="197"/>
      <c r="AF78" s="197"/>
      <c r="AG78" s="209" t="s">
        <v>137</v>
      </c>
      <c r="AH78" s="127" t="s">
        <v>138</v>
      </c>
      <c r="AI78" s="127">
        <v>0</v>
      </c>
      <c r="AJ78" s="127">
        <v>0</v>
      </c>
      <c r="AK78" s="127">
        <f t="shared" si="43"/>
        <v>0</v>
      </c>
      <c r="AL78" s="127">
        <f t="shared" si="44"/>
        <v>0</v>
      </c>
      <c r="AM78" s="127">
        <v>0</v>
      </c>
      <c r="AN78" s="127"/>
      <c r="AO78" s="127"/>
      <c r="AP78" s="127"/>
      <c r="AQ78" s="127"/>
      <c r="AR78" s="127"/>
      <c r="AS78" s="127"/>
      <c r="AT78" s="127"/>
      <c r="AU78" s="127"/>
      <c r="AV78" s="127"/>
      <c r="AW78" s="127"/>
      <c r="AX78" s="127"/>
      <c r="AY78" s="127"/>
      <c r="AZ78" s="127"/>
      <c r="BA78" s="127"/>
      <c r="BB78" s="127"/>
    </row>
    <row r="79" spans="1:54" ht="12" x14ac:dyDescent="0.3">
      <c r="A79" s="223" t="s">
        <v>29</v>
      </c>
      <c r="B79" s="223" t="s">
        <v>228</v>
      </c>
      <c r="C79" s="134" t="s">
        <v>228</v>
      </c>
      <c r="D79" s="200" t="s">
        <v>171</v>
      </c>
      <c r="E79" s="200" t="s">
        <v>147</v>
      </c>
      <c r="F79" s="208" t="s">
        <v>148</v>
      </c>
      <c r="G79" s="130" t="s">
        <v>133</v>
      </c>
      <c r="H79" s="200" t="s">
        <v>145</v>
      </c>
      <c r="I79" s="127" t="str">
        <f t="shared" si="34"/>
        <v>No of Racks</v>
      </c>
      <c r="J79" s="130">
        <v>14</v>
      </c>
      <c r="K79" s="130">
        <v>14</v>
      </c>
      <c r="L79" s="202">
        <f t="shared" si="35"/>
        <v>0</v>
      </c>
      <c r="M79" s="127">
        <f t="shared" si="36"/>
        <v>14</v>
      </c>
      <c r="N79" s="127">
        <f t="shared" si="37"/>
        <v>0</v>
      </c>
      <c r="O79" s="225">
        <f>490000/12</f>
        <v>40833.333333333336</v>
      </c>
      <c r="P79" s="204" t="str">
        <f t="shared" si="38"/>
        <v>Rated</v>
      </c>
      <c r="Q79" s="200" t="s">
        <v>6</v>
      </c>
      <c r="R79" s="252">
        <v>20</v>
      </c>
      <c r="S79" s="228">
        <v>39.9</v>
      </c>
      <c r="T79" s="195">
        <f t="shared" si="39"/>
        <v>-19.899999999999999</v>
      </c>
      <c r="U79" s="196">
        <v>0</v>
      </c>
      <c r="V79" s="196">
        <f t="shared" si="27"/>
        <v>0</v>
      </c>
      <c r="W79" s="196">
        <f t="shared" si="28"/>
        <v>10</v>
      </c>
      <c r="X79" s="196">
        <f t="shared" si="40"/>
        <v>39.9</v>
      </c>
      <c r="Y79" s="196">
        <f t="shared" si="41"/>
        <v>39.9</v>
      </c>
      <c r="Z79" s="196">
        <f t="shared" si="42"/>
        <v>19.899999999999999</v>
      </c>
      <c r="AA79" s="127"/>
      <c r="AB79" s="207" t="s">
        <v>147</v>
      </c>
      <c r="AC79" s="196">
        <v>1.8</v>
      </c>
      <c r="AD79" s="127"/>
      <c r="AE79" s="197"/>
      <c r="AF79" s="197"/>
      <c r="AG79" s="209" t="s">
        <v>137</v>
      </c>
      <c r="AH79" s="127" t="s">
        <v>138</v>
      </c>
      <c r="AI79" s="127">
        <v>1</v>
      </c>
      <c r="AJ79" s="127">
        <v>1</v>
      </c>
      <c r="AK79" s="127">
        <f t="shared" si="43"/>
        <v>0</v>
      </c>
      <c r="AL79" s="127">
        <f t="shared" si="44"/>
        <v>1</v>
      </c>
      <c r="AM79" s="127">
        <v>0</v>
      </c>
      <c r="AN79" s="127"/>
      <c r="AO79" s="127"/>
      <c r="AP79" s="127"/>
      <c r="AQ79" s="127"/>
      <c r="AR79" s="127"/>
      <c r="AS79" s="127"/>
      <c r="AT79" s="127"/>
      <c r="AU79" s="127"/>
      <c r="AV79" s="127"/>
      <c r="AW79" s="127"/>
      <c r="AX79" s="127"/>
      <c r="AY79" s="127"/>
      <c r="AZ79" s="127"/>
      <c r="BA79" s="127"/>
      <c r="BB79" s="127"/>
    </row>
    <row r="80" spans="1:54" ht="13.8" x14ac:dyDescent="0.3">
      <c r="A80" s="223" t="s">
        <v>29</v>
      </c>
      <c r="B80" s="223" t="s">
        <v>149</v>
      </c>
      <c r="C80" s="132" t="s">
        <v>230</v>
      </c>
      <c r="D80" s="127" t="s">
        <v>144</v>
      </c>
      <c r="E80" s="200" t="s">
        <v>131</v>
      </c>
      <c r="F80" s="208" t="s">
        <v>132</v>
      </c>
      <c r="G80" s="200" t="s">
        <v>133</v>
      </c>
      <c r="H80" s="200" t="s">
        <v>145</v>
      </c>
      <c r="I80" s="127" t="str">
        <f t="shared" si="34"/>
        <v>No of Racks</v>
      </c>
      <c r="J80" s="223">
        <v>13</v>
      </c>
      <c r="K80" s="223">
        <v>13</v>
      </c>
      <c r="L80" s="202">
        <f t="shared" si="35"/>
        <v>0</v>
      </c>
      <c r="M80" s="127">
        <f t="shared" si="36"/>
        <v>13</v>
      </c>
      <c r="N80" s="127">
        <f t="shared" si="37"/>
        <v>0</v>
      </c>
      <c r="O80" s="196"/>
      <c r="P80" s="204" t="str">
        <f t="shared" si="38"/>
        <v>Subscribed</v>
      </c>
      <c r="Q80" s="200" t="s">
        <v>6</v>
      </c>
      <c r="R80" s="224">
        <v>72.5</v>
      </c>
      <c r="S80" s="196">
        <f>AF80/672</f>
        <v>44.739479166666669</v>
      </c>
      <c r="T80" s="195">
        <f t="shared" si="39"/>
        <v>27.760520833333331</v>
      </c>
      <c r="U80" s="196">
        <v>0</v>
      </c>
      <c r="V80" s="196">
        <f t="shared" si="27"/>
        <v>27.760520833333331</v>
      </c>
      <c r="W80" s="196">
        <f t="shared" si="28"/>
        <v>72.5</v>
      </c>
      <c r="X80" s="196">
        <f t="shared" si="40"/>
        <v>44.739479166666669</v>
      </c>
      <c r="Y80" s="196">
        <f t="shared" si="41"/>
        <v>44.739479166666669</v>
      </c>
      <c r="Z80" s="196">
        <f t="shared" si="42"/>
        <v>-27.760520833333331</v>
      </c>
      <c r="AA80" s="127"/>
      <c r="AB80" s="217" t="s">
        <v>132</v>
      </c>
      <c r="AC80" s="196">
        <v>1.8</v>
      </c>
      <c r="AD80" s="127"/>
      <c r="AE80" s="196"/>
      <c r="AF80" s="245">
        <v>30064.93</v>
      </c>
      <c r="AG80" s="209" t="s">
        <v>137</v>
      </c>
      <c r="AH80" s="127" t="s">
        <v>138</v>
      </c>
      <c r="AI80" s="196">
        <v>6</v>
      </c>
      <c r="AJ80" s="196">
        <v>6</v>
      </c>
      <c r="AK80" s="127">
        <f t="shared" si="43"/>
        <v>0</v>
      </c>
      <c r="AL80" s="196">
        <f t="shared" si="44"/>
        <v>6</v>
      </c>
      <c r="AM80" s="127">
        <v>0</v>
      </c>
      <c r="AN80" s="127"/>
      <c r="AO80" s="127"/>
      <c r="AP80" s="127"/>
      <c r="AQ80" s="127"/>
      <c r="AR80" s="127"/>
      <c r="AS80" s="127"/>
      <c r="AT80" s="127"/>
      <c r="AU80" s="127"/>
      <c r="AV80" s="127">
        <v>521007266</v>
      </c>
      <c r="AW80" s="135">
        <v>45728</v>
      </c>
      <c r="AX80" s="127"/>
      <c r="AY80" s="127"/>
      <c r="AZ80" s="127"/>
      <c r="BA80" s="127"/>
      <c r="BB80" s="127"/>
    </row>
    <row r="81" spans="1:54 16151:16384" ht="12" x14ac:dyDescent="0.2">
      <c r="A81" s="223" t="s">
        <v>29</v>
      </c>
      <c r="B81" s="198" t="s">
        <v>162</v>
      </c>
      <c r="C81" s="127" t="s">
        <v>231</v>
      </c>
      <c r="D81" s="127" t="s">
        <v>144</v>
      </c>
      <c r="E81" s="200" t="s">
        <v>147</v>
      </c>
      <c r="F81" s="208" t="s">
        <v>148</v>
      </c>
      <c r="G81" s="200" t="s">
        <v>133</v>
      </c>
      <c r="H81" s="200" t="s">
        <v>145</v>
      </c>
      <c r="I81" s="127" t="str">
        <f t="shared" si="34"/>
        <v>No of Racks</v>
      </c>
      <c r="J81" s="223">
        <v>2</v>
      </c>
      <c r="K81" s="223">
        <v>2</v>
      </c>
      <c r="L81" s="202">
        <f t="shared" si="35"/>
        <v>0</v>
      </c>
      <c r="M81" s="127">
        <f t="shared" si="36"/>
        <v>2</v>
      </c>
      <c r="N81" s="127">
        <f t="shared" si="37"/>
        <v>0</v>
      </c>
      <c r="O81" s="196"/>
      <c r="P81" s="204" t="str">
        <f t="shared" si="38"/>
        <v>Rated</v>
      </c>
      <c r="Q81" s="127" t="s">
        <v>6</v>
      </c>
      <c r="R81" s="224">
        <v>12</v>
      </c>
      <c r="S81" s="196">
        <v>6.98</v>
      </c>
      <c r="T81" s="195">
        <f t="shared" si="39"/>
        <v>5.0199999999999996</v>
      </c>
      <c r="U81" s="196">
        <v>0</v>
      </c>
      <c r="V81" s="196">
        <f t="shared" si="27"/>
        <v>2.5099999999999998</v>
      </c>
      <c r="W81" s="196">
        <f t="shared" si="28"/>
        <v>6</v>
      </c>
      <c r="X81" s="196">
        <f t="shared" si="40"/>
        <v>6.98</v>
      </c>
      <c r="Y81" s="196">
        <f t="shared" si="41"/>
        <v>6.98</v>
      </c>
      <c r="Z81" s="196">
        <f t="shared" si="42"/>
        <v>-5.0199999999999996</v>
      </c>
      <c r="AA81" s="127"/>
      <c r="AB81" s="207" t="s">
        <v>132</v>
      </c>
      <c r="AC81" s="196">
        <v>1.8</v>
      </c>
      <c r="AD81" s="196"/>
      <c r="AE81" s="196"/>
      <c r="AF81" s="196"/>
      <c r="AG81" s="209" t="s">
        <v>137</v>
      </c>
      <c r="AH81" s="127" t="s">
        <v>138</v>
      </c>
      <c r="AI81" s="196">
        <v>0</v>
      </c>
      <c r="AJ81" s="196">
        <v>0</v>
      </c>
      <c r="AK81" s="127">
        <f t="shared" si="43"/>
        <v>0</v>
      </c>
      <c r="AL81" s="196">
        <f t="shared" si="44"/>
        <v>0</v>
      </c>
      <c r="AM81" s="196">
        <v>0</v>
      </c>
      <c r="AN81" s="210"/>
      <c r="AO81" s="127"/>
      <c r="AP81" s="127"/>
      <c r="AQ81" s="127"/>
      <c r="AR81" s="127"/>
      <c r="AS81" s="127"/>
      <c r="AT81" s="127"/>
      <c r="AU81" s="127"/>
      <c r="AV81" s="232">
        <v>521007213</v>
      </c>
      <c r="AW81" s="135">
        <v>45726</v>
      </c>
      <c r="AX81" s="127"/>
      <c r="AY81" s="127"/>
      <c r="AZ81" s="127"/>
      <c r="BA81" s="127"/>
      <c r="BB81" s="127"/>
    </row>
    <row r="82" spans="1:54 16151:16384" ht="13.8" x14ac:dyDescent="0.3">
      <c r="A82" s="223" t="s">
        <v>29</v>
      </c>
      <c r="B82" s="223" t="s">
        <v>162</v>
      </c>
      <c r="C82" s="127" t="s">
        <v>232</v>
      </c>
      <c r="D82" s="127" t="s">
        <v>144</v>
      </c>
      <c r="E82" s="127" t="s">
        <v>131</v>
      </c>
      <c r="F82" s="196" t="s">
        <v>132</v>
      </c>
      <c r="G82" s="127" t="s">
        <v>133</v>
      </c>
      <c r="H82" s="127" t="s">
        <v>145</v>
      </c>
      <c r="I82" s="127" t="str">
        <f t="shared" si="34"/>
        <v>No of Racks</v>
      </c>
      <c r="J82" s="127">
        <v>1</v>
      </c>
      <c r="K82" s="127">
        <v>1</v>
      </c>
      <c r="L82" s="202">
        <f t="shared" si="35"/>
        <v>0</v>
      </c>
      <c r="M82" s="127">
        <f t="shared" si="36"/>
        <v>1</v>
      </c>
      <c r="N82" s="127">
        <f t="shared" si="37"/>
        <v>0</v>
      </c>
      <c r="O82" s="210"/>
      <c r="P82" s="204" t="str">
        <f t="shared" si="38"/>
        <v>Subscribed</v>
      </c>
      <c r="Q82" s="127" t="s">
        <v>160</v>
      </c>
      <c r="R82" s="224">
        <v>3</v>
      </c>
      <c r="S82" s="196">
        <f>AF82/672</f>
        <v>3.5171577380952384</v>
      </c>
      <c r="T82" s="195">
        <f t="shared" si="39"/>
        <v>-0.51715773809523835</v>
      </c>
      <c r="U82" s="196">
        <v>0</v>
      </c>
      <c r="V82" s="196">
        <f t="shared" si="27"/>
        <v>0</v>
      </c>
      <c r="W82" s="196">
        <f t="shared" si="28"/>
        <v>3</v>
      </c>
      <c r="X82" s="196">
        <f t="shared" si="40"/>
        <v>3.5171577380952384</v>
      </c>
      <c r="Y82" s="196">
        <f t="shared" si="41"/>
        <v>3.5171577380952384</v>
      </c>
      <c r="Z82" s="196">
        <f t="shared" si="42"/>
        <v>0.51715773809523835</v>
      </c>
      <c r="AA82" s="233"/>
      <c r="AB82" s="234" t="s">
        <v>132</v>
      </c>
      <c r="AC82" s="196"/>
      <c r="AD82" s="196"/>
      <c r="AE82" s="235"/>
      <c r="AF82" s="245">
        <v>2363.5300000000002</v>
      </c>
      <c r="AG82" s="209" t="s">
        <v>137</v>
      </c>
      <c r="AH82" s="127" t="s">
        <v>138</v>
      </c>
      <c r="AI82" s="196">
        <v>0</v>
      </c>
      <c r="AJ82" s="196">
        <v>0</v>
      </c>
      <c r="AK82" s="127">
        <f t="shared" si="43"/>
        <v>0</v>
      </c>
      <c r="AL82" s="196">
        <f t="shared" si="44"/>
        <v>0</v>
      </c>
      <c r="AM82" s="196">
        <v>0</v>
      </c>
      <c r="AN82" s="127"/>
      <c r="AO82" s="236"/>
      <c r="AP82" s="233"/>
      <c r="AQ82" s="233"/>
      <c r="AR82" s="233"/>
      <c r="AS82" s="233"/>
      <c r="AT82" s="237"/>
      <c r="AU82" s="237"/>
      <c r="AV82" s="127"/>
      <c r="AW82" s="238"/>
      <c r="AX82" s="127"/>
      <c r="AY82" s="128"/>
      <c r="AZ82" s="127"/>
      <c r="BA82" s="127"/>
      <c r="BB82" s="127"/>
    </row>
    <row r="83" spans="1:54 16151:16384" ht="12" x14ac:dyDescent="0.3">
      <c r="A83" s="223" t="s">
        <v>29</v>
      </c>
      <c r="B83" s="223" t="s">
        <v>162</v>
      </c>
      <c r="C83" s="127" t="s">
        <v>233</v>
      </c>
      <c r="D83" s="127" t="s">
        <v>144</v>
      </c>
      <c r="E83" s="127" t="s">
        <v>147</v>
      </c>
      <c r="F83" s="196" t="s">
        <v>148</v>
      </c>
      <c r="G83" s="127" t="s">
        <v>133</v>
      </c>
      <c r="H83" s="127" t="s">
        <v>145</v>
      </c>
      <c r="I83" s="127" t="str">
        <f t="shared" si="34"/>
        <v>No of Racks</v>
      </c>
      <c r="J83" s="127">
        <v>1</v>
      </c>
      <c r="K83" s="127">
        <v>1</v>
      </c>
      <c r="L83" s="202">
        <f t="shared" si="35"/>
        <v>0</v>
      </c>
      <c r="M83" s="127">
        <f t="shared" si="36"/>
        <v>1</v>
      </c>
      <c r="N83" s="127">
        <f t="shared" si="37"/>
        <v>0</v>
      </c>
      <c r="O83" s="210"/>
      <c r="P83" s="204" t="str">
        <f t="shared" si="38"/>
        <v>Rated</v>
      </c>
      <c r="Q83" s="127" t="s">
        <v>6</v>
      </c>
      <c r="R83" s="224">
        <v>4</v>
      </c>
      <c r="S83" s="196">
        <v>3.8439999999999999</v>
      </c>
      <c r="T83" s="195">
        <f t="shared" si="39"/>
        <v>0.15600000000000014</v>
      </c>
      <c r="U83" s="196">
        <v>0</v>
      </c>
      <c r="V83" s="196">
        <f t="shared" si="27"/>
        <v>7.8000000000000069E-2</v>
      </c>
      <c r="W83" s="196">
        <f t="shared" si="28"/>
        <v>2</v>
      </c>
      <c r="X83" s="196">
        <f t="shared" si="40"/>
        <v>3.8439999999999999</v>
      </c>
      <c r="Y83" s="196">
        <f t="shared" si="41"/>
        <v>3.8439999999999999</v>
      </c>
      <c r="Z83" s="196">
        <f t="shared" si="42"/>
        <v>-0.15600000000000014</v>
      </c>
      <c r="AA83" s="233"/>
      <c r="AB83" s="234" t="s">
        <v>147</v>
      </c>
      <c r="AC83" s="196"/>
      <c r="AD83" s="196"/>
      <c r="AE83" s="235"/>
      <c r="AF83" s="196"/>
      <c r="AG83" s="209" t="s">
        <v>137</v>
      </c>
      <c r="AH83" s="127" t="s">
        <v>138</v>
      </c>
      <c r="AI83" s="196">
        <v>0</v>
      </c>
      <c r="AJ83" s="196">
        <v>0</v>
      </c>
      <c r="AK83" s="127">
        <f t="shared" si="43"/>
        <v>0</v>
      </c>
      <c r="AL83" s="196">
        <f t="shared" si="44"/>
        <v>0</v>
      </c>
      <c r="AM83" s="196">
        <v>0</v>
      </c>
      <c r="AN83" s="127"/>
      <c r="AO83" s="236"/>
      <c r="AP83" s="233"/>
      <c r="AQ83" s="233"/>
      <c r="AR83" s="233"/>
      <c r="AS83" s="233"/>
      <c r="AT83" s="237"/>
      <c r="AU83" s="237"/>
      <c r="AV83" s="127"/>
      <c r="AW83" s="238"/>
      <c r="AX83" s="127"/>
      <c r="AY83" s="128"/>
      <c r="AZ83" s="127"/>
      <c r="BA83" s="127"/>
      <c r="BB83" s="127"/>
    </row>
    <row r="84" spans="1:54 16151:16384" ht="13.8" x14ac:dyDescent="0.3">
      <c r="A84" s="223" t="s">
        <v>29</v>
      </c>
      <c r="B84" s="223" t="s">
        <v>162</v>
      </c>
      <c r="C84" s="226" t="s">
        <v>234</v>
      </c>
      <c r="D84" s="127" t="s">
        <v>144</v>
      </c>
      <c r="E84" s="127" t="s">
        <v>147</v>
      </c>
      <c r="F84" s="196" t="s">
        <v>148</v>
      </c>
      <c r="G84" s="127" t="s">
        <v>133</v>
      </c>
      <c r="H84" s="127" t="s">
        <v>145</v>
      </c>
      <c r="I84" s="127" t="str">
        <f t="shared" si="34"/>
        <v>No of Racks</v>
      </c>
      <c r="J84" s="127">
        <v>1</v>
      </c>
      <c r="K84" s="127">
        <v>1</v>
      </c>
      <c r="L84" s="202">
        <f t="shared" si="35"/>
        <v>0</v>
      </c>
      <c r="M84" s="127">
        <f t="shared" si="36"/>
        <v>1</v>
      </c>
      <c r="N84" s="127">
        <f t="shared" si="37"/>
        <v>0</v>
      </c>
      <c r="O84" s="210"/>
      <c r="P84" s="204" t="str">
        <f t="shared" si="38"/>
        <v>Rated</v>
      </c>
      <c r="Q84" s="127" t="s">
        <v>6</v>
      </c>
      <c r="R84" s="196">
        <v>6</v>
      </c>
      <c r="S84" s="196">
        <v>0</v>
      </c>
      <c r="T84" s="195">
        <f t="shared" si="39"/>
        <v>6</v>
      </c>
      <c r="U84" s="196">
        <v>0</v>
      </c>
      <c r="V84" s="196">
        <v>6</v>
      </c>
      <c r="W84" s="196">
        <v>0</v>
      </c>
      <c r="X84" s="196">
        <f t="shared" si="40"/>
        <v>0</v>
      </c>
      <c r="Y84" s="196">
        <f t="shared" si="41"/>
        <v>0</v>
      </c>
      <c r="Z84" s="196">
        <f t="shared" si="42"/>
        <v>-6</v>
      </c>
      <c r="AA84" s="233"/>
      <c r="AB84" s="234" t="s">
        <v>147</v>
      </c>
      <c r="AC84" s="196"/>
      <c r="AD84" s="196"/>
      <c r="AE84" s="235"/>
      <c r="AF84" s="196"/>
      <c r="AG84" s="209" t="s">
        <v>137</v>
      </c>
      <c r="AH84" s="127" t="s">
        <v>138</v>
      </c>
      <c r="AI84" s="196">
        <v>0</v>
      </c>
      <c r="AJ84" s="196">
        <v>0</v>
      </c>
      <c r="AK84" s="127">
        <f t="shared" si="43"/>
        <v>0</v>
      </c>
      <c r="AL84" s="196">
        <f t="shared" si="44"/>
        <v>0</v>
      </c>
      <c r="AM84" s="196">
        <v>0</v>
      </c>
      <c r="AN84" s="127"/>
      <c r="AO84" s="236"/>
      <c r="AP84" s="233"/>
      <c r="AQ84" s="233"/>
      <c r="AR84" s="233"/>
      <c r="AS84" s="233"/>
      <c r="AT84" s="237"/>
      <c r="AU84" s="237"/>
      <c r="AV84" s="127"/>
      <c r="AW84" s="238"/>
      <c r="AX84" s="127"/>
      <c r="AY84" s="128"/>
      <c r="AZ84" s="127"/>
      <c r="BA84" s="127"/>
      <c r="BB84" s="127"/>
    </row>
    <row r="85" spans="1:54 16151:16384" ht="13.8" x14ac:dyDescent="0.3">
      <c r="A85" s="223" t="s">
        <v>29</v>
      </c>
      <c r="B85" s="223" t="s">
        <v>162</v>
      </c>
      <c r="C85" s="226" t="s">
        <v>235</v>
      </c>
      <c r="D85" s="127" t="s">
        <v>144</v>
      </c>
      <c r="E85" s="127" t="s">
        <v>147</v>
      </c>
      <c r="F85" s="196" t="s">
        <v>148</v>
      </c>
      <c r="G85" s="127" t="s">
        <v>133</v>
      </c>
      <c r="H85" s="127" t="s">
        <v>145</v>
      </c>
      <c r="I85" s="127" t="str">
        <f t="shared" si="34"/>
        <v>No of Racks</v>
      </c>
      <c r="J85" s="127">
        <v>1</v>
      </c>
      <c r="K85" s="127">
        <v>1</v>
      </c>
      <c r="L85" s="202">
        <f t="shared" si="35"/>
        <v>0</v>
      </c>
      <c r="M85" s="127">
        <f t="shared" si="36"/>
        <v>1</v>
      </c>
      <c r="N85" s="127">
        <f t="shared" si="37"/>
        <v>0</v>
      </c>
      <c r="O85" s="210"/>
      <c r="P85" s="204" t="str">
        <f t="shared" si="38"/>
        <v>Rated</v>
      </c>
      <c r="Q85" s="127" t="s">
        <v>6</v>
      </c>
      <c r="R85" s="196">
        <v>6</v>
      </c>
      <c r="S85" s="196">
        <v>0</v>
      </c>
      <c r="T85" s="195">
        <f t="shared" si="39"/>
        <v>6</v>
      </c>
      <c r="U85" s="196">
        <v>0</v>
      </c>
      <c r="V85" s="196">
        <v>6</v>
      </c>
      <c r="W85" s="196">
        <v>0</v>
      </c>
      <c r="X85" s="196">
        <f t="shared" si="40"/>
        <v>0</v>
      </c>
      <c r="Y85" s="196">
        <f t="shared" si="41"/>
        <v>0</v>
      </c>
      <c r="Z85" s="196">
        <f t="shared" si="42"/>
        <v>-6</v>
      </c>
      <c r="AA85" s="233"/>
      <c r="AB85" s="234" t="s">
        <v>147</v>
      </c>
      <c r="AC85" s="196"/>
      <c r="AD85" s="196"/>
      <c r="AE85" s="235"/>
      <c r="AF85" s="196"/>
      <c r="AG85" s="209" t="s">
        <v>137</v>
      </c>
      <c r="AH85" s="127" t="s">
        <v>138</v>
      </c>
      <c r="AI85" s="196">
        <v>0</v>
      </c>
      <c r="AJ85" s="196">
        <v>0</v>
      </c>
      <c r="AK85" s="127">
        <f t="shared" si="43"/>
        <v>0</v>
      </c>
      <c r="AL85" s="196">
        <f t="shared" si="44"/>
        <v>0</v>
      </c>
      <c r="AM85" s="196">
        <v>0</v>
      </c>
      <c r="AN85" s="127"/>
      <c r="AO85" s="236"/>
      <c r="AP85" s="233"/>
      <c r="AQ85" s="233"/>
      <c r="AR85" s="233"/>
      <c r="AS85" s="233"/>
      <c r="AT85" s="237"/>
      <c r="AU85" s="237"/>
      <c r="AV85" s="127"/>
      <c r="AW85" s="238"/>
      <c r="AX85" s="127"/>
      <c r="AY85" s="128"/>
      <c r="AZ85" s="127"/>
      <c r="BA85" s="127"/>
      <c r="BB85" s="127"/>
    </row>
    <row r="86" spans="1:54 16151:16384" ht="13.8" x14ac:dyDescent="0.3">
      <c r="A86" s="223" t="s">
        <v>29</v>
      </c>
      <c r="B86" s="223" t="s">
        <v>162</v>
      </c>
      <c r="C86" s="127" t="s">
        <v>236</v>
      </c>
      <c r="D86" s="127" t="s">
        <v>144</v>
      </c>
      <c r="E86" s="127" t="s">
        <v>131</v>
      </c>
      <c r="F86" s="196" t="s">
        <v>132</v>
      </c>
      <c r="G86" s="127" t="s">
        <v>133</v>
      </c>
      <c r="H86" s="127" t="s">
        <v>145</v>
      </c>
      <c r="I86" s="127" t="str">
        <f t="shared" si="34"/>
        <v>No of Racks</v>
      </c>
      <c r="J86" s="127">
        <v>5</v>
      </c>
      <c r="K86" s="127">
        <v>5</v>
      </c>
      <c r="L86" s="202">
        <f t="shared" si="35"/>
        <v>0</v>
      </c>
      <c r="M86" s="127">
        <f t="shared" si="36"/>
        <v>5</v>
      </c>
      <c r="N86" s="127">
        <f t="shared" si="37"/>
        <v>0</v>
      </c>
      <c r="O86" s="210"/>
      <c r="P86" s="204" t="str">
        <f t="shared" si="38"/>
        <v>Subscribed</v>
      </c>
      <c r="Q86" s="127" t="s">
        <v>160</v>
      </c>
      <c r="R86" s="224">
        <v>15</v>
      </c>
      <c r="S86" s="196">
        <f t="shared" ref="S86:S87" si="45">AF86/672</f>
        <v>1.9681845238095237</v>
      </c>
      <c r="T86" s="195">
        <f t="shared" si="39"/>
        <v>13.031815476190477</v>
      </c>
      <c r="U86" s="196">
        <v>0</v>
      </c>
      <c r="V86" s="196">
        <f>IF(T86&lt;=0,0,(IF(P86="Rated",(T86+U86)*$V$1,(T86+U86))))</f>
        <v>13.031815476190477</v>
      </c>
      <c r="W86" s="196">
        <f>IF(P86="Rated",R86*$V$1,R86)</f>
        <v>15</v>
      </c>
      <c r="X86" s="196">
        <f t="shared" si="40"/>
        <v>1.9681845238095237</v>
      </c>
      <c r="Y86" s="196">
        <f t="shared" si="41"/>
        <v>1.9681845238095237</v>
      </c>
      <c r="Z86" s="196">
        <f t="shared" si="42"/>
        <v>-13.031815476190477</v>
      </c>
      <c r="AA86" s="233"/>
      <c r="AB86" s="217" t="s">
        <v>132</v>
      </c>
      <c r="AC86" s="196"/>
      <c r="AD86" s="196"/>
      <c r="AE86" s="235"/>
      <c r="AF86" s="245">
        <v>1322.62</v>
      </c>
      <c r="AG86" s="209" t="s">
        <v>137</v>
      </c>
      <c r="AH86" s="127" t="s">
        <v>138</v>
      </c>
      <c r="AI86" s="196">
        <v>0</v>
      </c>
      <c r="AJ86" s="196">
        <v>0</v>
      </c>
      <c r="AK86" s="127">
        <f t="shared" si="43"/>
        <v>0</v>
      </c>
      <c r="AL86" s="196">
        <f t="shared" si="44"/>
        <v>0</v>
      </c>
      <c r="AM86" s="196">
        <v>0</v>
      </c>
      <c r="AN86" s="127"/>
      <c r="AO86" s="236"/>
      <c r="AP86" s="233"/>
      <c r="AQ86" s="233"/>
      <c r="AR86" s="233"/>
      <c r="AS86" s="233"/>
      <c r="AT86" s="237"/>
      <c r="AU86" s="237"/>
      <c r="AV86" s="127"/>
      <c r="AW86" s="238"/>
      <c r="AX86" s="127"/>
      <c r="AY86" s="128"/>
      <c r="AZ86" s="127"/>
      <c r="BA86" s="127"/>
      <c r="BB86" s="127"/>
    </row>
    <row r="87" spans="1:54 16151:16384" ht="12.75" customHeight="1" x14ac:dyDescent="0.3">
      <c r="A87" s="223" t="s">
        <v>29</v>
      </c>
      <c r="B87" s="223" t="s">
        <v>162</v>
      </c>
      <c r="C87" s="239" t="s">
        <v>237</v>
      </c>
      <c r="D87" s="127" t="s">
        <v>144</v>
      </c>
      <c r="E87" s="127" t="s">
        <v>131</v>
      </c>
      <c r="F87" s="196" t="s">
        <v>132</v>
      </c>
      <c r="G87" s="127" t="s">
        <v>133</v>
      </c>
      <c r="H87" s="127" t="s">
        <v>145</v>
      </c>
      <c r="I87" s="127" t="str">
        <f t="shared" si="34"/>
        <v>No of Racks</v>
      </c>
      <c r="J87" s="127">
        <v>2</v>
      </c>
      <c r="K87" s="127">
        <v>2</v>
      </c>
      <c r="L87" s="202">
        <f t="shared" si="35"/>
        <v>0</v>
      </c>
      <c r="M87" s="127">
        <f t="shared" si="36"/>
        <v>2</v>
      </c>
      <c r="N87" s="127">
        <f t="shared" si="37"/>
        <v>0</v>
      </c>
      <c r="O87" s="210"/>
      <c r="P87" s="204" t="str">
        <f t="shared" si="38"/>
        <v>Subscribed</v>
      </c>
      <c r="Q87" s="127" t="s">
        <v>160</v>
      </c>
      <c r="R87" s="224">
        <v>7</v>
      </c>
      <c r="S87" s="196">
        <f t="shared" si="45"/>
        <v>0</v>
      </c>
      <c r="T87" s="195">
        <f t="shared" si="39"/>
        <v>7</v>
      </c>
      <c r="U87" s="196">
        <v>0</v>
      </c>
      <c r="V87" s="196">
        <f>IF(T87&lt;=0,0,(IF(P87="Rated",(T87+U87)*$V$1,(T87+U87))))</f>
        <v>7</v>
      </c>
      <c r="W87" s="196">
        <f>IF(P87="Rated",R87*$V$1,R87)</f>
        <v>7</v>
      </c>
      <c r="X87" s="196">
        <f t="shared" si="40"/>
        <v>0</v>
      </c>
      <c r="Y87" s="196">
        <f t="shared" si="41"/>
        <v>0</v>
      </c>
      <c r="Z87" s="196">
        <f t="shared" si="42"/>
        <v>-7</v>
      </c>
      <c r="AA87" s="233"/>
      <c r="AB87" s="217" t="s">
        <v>132</v>
      </c>
      <c r="AC87" s="196"/>
      <c r="AD87" s="196"/>
      <c r="AE87" s="235"/>
      <c r="AF87" s="244">
        <v>0</v>
      </c>
      <c r="AG87" s="209" t="s">
        <v>137</v>
      </c>
      <c r="AH87" s="127" t="s">
        <v>138</v>
      </c>
      <c r="AI87" s="196">
        <v>0</v>
      </c>
      <c r="AJ87" s="196">
        <v>0</v>
      </c>
      <c r="AK87" s="127">
        <f t="shared" si="43"/>
        <v>0</v>
      </c>
      <c r="AL87" s="196">
        <f t="shared" si="44"/>
        <v>0</v>
      </c>
      <c r="AM87" s="196">
        <v>0</v>
      </c>
      <c r="AN87" s="127"/>
      <c r="AO87" s="236"/>
      <c r="AP87" s="233"/>
      <c r="AQ87" s="233"/>
      <c r="AR87" s="233"/>
      <c r="AS87" s="233"/>
      <c r="AT87" s="237"/>
      <c r="AU87" s="237"/>
      <c r="AV87" s="127"/>
      <c r="AW87" s="238"/>
      <c r="AX87" s="127"/>
      <c r="AY87" s="128"/>
      <c r="AZ87" s="127"/>
      <c r="BA87" s="127"/>
      <c r="BB87" s="127"/>
    </row>
    <row r="88" spans="1:54 16151:16384" ht="13.8" x14ac:dyDescent="0.3">
      <c r="A88" s="223" t="s">
        <v>29</v>
      </c>
      <c r="B88" s="223" t="s">
        <v>162</v>
      </c>
      <c r="C88" s="226" t="s">
        <v>238</v>
      </c>
      <c r="D88" s="127" t="s">
        <v>144</v>
      </c>
      <c r="E88" s="127" t="s">
        <v>147</v>
      </c>
      <c r="F88" s="196" t="s">
        <v>148</v>
      </c>
      <c r="G88" s="127" t="s">
        <v>133</v>
      </c>
      <c r="H88" s="127" t="s">
        <v>145</v>
      </c>
      <c r="I88" s="127" t="str">
        <f t="shared" si="34"/>
        <v>No of Racks</v>
      </c>
      <c r="J88" s="127">
        <v>2</v>
      </c>
      <c r="K88" s="127">
        <v>2</v>
      </c>
      <c r="L88" s="202">
        <f t="shared" si="35"/>
        <v>0</v>
      </c>
      <c r="M88" s="127">
        <f t="shared" si="36"/>
        <v>2</v>
      </c>
      <c r="N88" s="127">
        <f t="shared" si="37"/>
        <v>0</v>
      </c>
      <c r="O88" s="210"/>
      <c r="P88" s="204" t="str">
        <f t="shared" si="38"/>
        <v>Rated</v>
      </c>
      <c r="Q88" s="127" t="s">
        <v>6</v>
      </c>
      <c r="R88" s="196">
        <v>12</v>
      </c>
      <c r="S88" s="196">
        <v>0</v>
      </c>
      <c r="T88" s="195">
        <f t="shared" si="39"/>
        <v>12</v>
      </c>
      <c r="U88" s="196">
        <v>0</v>
      </c>
      <c r="V88" s="196">
        <v>12</v>
      </c>
      <c r="W88" s="196">
        <v>0</v>
      </c>
      <c r="X88" s="196">
        <f t="shared" si="40"/>
        <v>0</v>
      </c>
      <c r="Y88" s="196">
        <f t="shared" si="41"/>
        <v>0</v>
      </c>
      <c r="Z88" s="196">
        <f t="shared" si="42"/>
        <v>-12</v>
      </c>
      <c r="AA88" s="233"/>
      <c r="AB88" s="207" t="s">
        <v>147</v>
      </c>
      <c r="AC88" s="196">
        <v>1.8</v>
      </c>
      <c r="AD88" s="196"/>
      <c r="AE88" s="235"/>
      <c r="AF88" s="196"/>
      <c r="AG88" s="209" t="s">
        <v>137</v>
      </c>
      <c r="AH88" s="127" t="s">
        <v>138</v>
      </c>
      <c r="AI88" s="196">
        <v>0</v>
      </c>
      <c r="AJ88" s="196">
        <v>0</v>
      </c>
      <c r="AK88" s="127">
        <f t="shared" si="43"/>
        <v>0</v>
      </c>
      <c r="AL88" s="196">
        <f t="shared" si="44"/>
        <v>0</v>
      </c>
      <c r="AM88" s="196">
        <v>0</v>
      </c>
      <c r="AN88" s="127"/>
      <c r="AO88" s="236"/>
      <c r="AP88" s="233"/>
      <c r="AQ88" s="233"/>
      <c r="AR88" s="233"/>
      <c r="AS88" s="233"/>
      <c r="AT88" s="237"/>
      <c r="AU88" s="237"/>
      <c r="AV88" s="127"/>
      <c r="AW88" s="238"/>
      <c r="AX88" s="127"/>
      <c r="AY88" s="128"/>
      <c r="AZ88" s="127"/>
      <c r="BA88" s="127"/>
      <c r="BB88" s="127"/>
    </row>
    <row r="89" spans="1:54 16151:16384" ht="13.8" x14ac:dyDescent="0.3">
      <c r="A89" s="223" t="s">
        <v>29</v>
      </c>
      <c r="B89" s="127" t="s">
        <v>162</v>
      </c>
      <c r="C89" s="226" t="s">
        <v>239</v>
      </c>
      <c r="D89" s="127" t="s">
        <v>144</v>
      </c>
      <c r="E89" s="200" t="s">
        <v>147</v>
      </c>
      <c r="F89" s="208" t="s">
        <v>148</v>
      </c>
      <c r="G89" s="130" t="s">
        <v>166</v>
      </c>
      <c r="H89" s="200" t="s">
        <v>145</v>
      </c>
      <c r="I89" s="127" t="str">
        <f t="shared" si="34"/>
        <v>U Space</v>
      </c>
      <c r="J89" s="127">
        <v>1</v>
      </c>
      <c r="K89" s="127">
        <v>1</v>
      </c>
      <c r="L89" s="202">
        <f t="shared" si="35"/>
        <v>0</v>
      </c>
      <c r="M89" s="127">
        <f t="shared" si="36"/>
        <v>1</v>
      </c>
      <c r="N89" s="127">
        <f t="shared" si="37"/>
        <v>0</v>
      </c>
      <c r="O89" s="196"/>
      <c r="P89" s="204" t="str">
        <f t="shared" si="38"/>
        <v>Rated</v>
      </c>
      <c r="Q89" s="200" t="s">
        <v>6</v>
      </c>
      <c r="R89" s="196">
        <v>0.25</v>
      </c>
      <c r="S89" s="127">
        <v>0.2</v>
      </c>
      <c r="T89" s="195">
        <f t="shared" si="39"/>
        <v>4.9999999999999989E-2</v>
      </c>
      <c r="U89" s="196">
        <v>0</v>
      </c>
      <c r="V89" s="196">
        <f>IF(T89&lt;=0,0,(IF(P89="Rated",(T89+U89)*$V$1,(T89+U89))))</f>
        <v>2.4999999999999994E-2</v>
      </c>
      <c r="W89" s="196">
        <f>IF(P89="Rated",R89*$V$1,R89)</f>
        <v>0.125</v>
      </c>
      <c r="X89" s="196">
        <f t="shared" si="40"/>
        <v>0.2</v>
      </c>
      <c r="Y89" s="196">
        <f t="shared" si="41"/>
        <v>0.2</v>
      </c>
      <c r="Z89" s="196">
        <f t="shared" si="42"/>
        <v>-4.9999999999999989E-2</v>
      </c>
      <c r="AA89" s="127"/>
      <c r="AB89" s="207" t="s">
        <v>147</v>
      </c>
      <c r="AC89" s="196">
        <v>1.8</v>
      </c>
      <c r="AD89" s="127"/>
      <c r="AE89" s="197"/>
      <c r="AF89" s="197"/>
      <c r="AG89" s="209" t="s">
        <v>137</v>
      </c>
      <c r="AH89" s="127" t="s">
        <v>138</v>
      </c>
      <c r="AI89" s="127">
        <v>0</v>
      </c>
      <c r="AJ89" s="127">
        <v>0</v>
      </c>
      <c r="AK89" s="127">
        <f t="shared" si="43"/>
        <v>0</v>
      </c>
      <c r="AL89" s="127">
        <f t="shared" si="44"/>
        <v>0</v>
      </c>
      <c r="AM89" s="196">
        <v>0</v>
      </c>
      <c r="AN89" s="127"/>
      <c r="AO89" s="127"/>
      <c r="AP89" s="127"/>
      <c r="AQ89" s="127"/>
      <c r="AR89" s="127"/>
      <c r="AS89" s="127"/>
      <c r="AT89" s="127"/>
      <c r="AU89" s="127"/>
      <c r="AV89" s="127">
        <v>521008118</v>
      </c>
      <c r="AW89" s="127"/>
      <c r="AX89" s="127"/>
      <c r="AY89" s="127"/>
      <c r="AZ89" s="127"/>
      <c r="BA89" s="127"/>
      <c r="BB89" s="127"/>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c r="XFB89"/>
      <c r="XFC89"/>
      <c r="XFD89"/>
    </row>
    <row r="90" spans="1:54 16151:16384" ht="12" x14ac:dyDescent="0.25">
      <c r="A90" s="223" t="s">
        <v>29</v>
      </c>
      <c r="B90" s="223" t="s">
        <v>162</v>
      </c>
      <c r="C90" s="133" t="s">
        <v>240</v>
      </c>
      <c r="D90" s="200" t="s">
        <v>144</v>
      </c>
      <c r="E90" s="200" t="s">
        <v>147</v>
      </c>
      <c r="F90" s="208" t="s">
        <v>148</v>
      </c>
      <c r="G90" s="130" t="s">
        <v>166</v>
      </c>
      <c r="H90" s="200" t="s">
        <v>145</v>
      </c>
      <c r="I90" s="127" t="str">
        <f t="shared" si="34"/>
        <v>U Space</v>
      </c>
      <c r="J90" s="130">
        <v>21</v>
      </c>
      <c r="K90" s="130">
        <v>21</v>
      </c>
      <c r="L90" s="202">
        <f t="shared" si="35"/>
        <v>0</v>
      </c>
      <c r="M90" s="127">
        <f t="shared" si="36"/>
        <v>21</v>
      </c>
      <c r="N90" s="127">
        <f t="shared" si="37"/>
        <v>0</v>
      </c>
      <c r="O90" s="220"/>
      <c r="P90" s="204" t="str">
        <f t="shared" si="38"/>
        <v>Rated</v>
      </c>
      <c r="Q90" s="200" t="s">
        <v>6</v>
      </c>
      <c r="R90" s="252">
        <v>3</v>
      </c>
      <c r="S90" s="228">
        <v>2.41</v>
      </c>
      <c r="T90" s="195">
        <f t="shared" si="39"/>
        <v>0.58999999999999986</v>
      </c>
      <c r="U90" s="196">
        <v>0</v>
      </c>
      <c r="V90" s="196">
        <f>IF(T90&lt;=0,0,(IF(P90="Rated",(T90+U90)*$V$1,(T90+U90))))</f>
        <v>0.29499999999999993</v>
      </c>
      <c r="W90" s="196">
        <f>IF(P90="Rated",R90*$V$1,R90)</f>
        <v>1.5</v>
      </c>
      <c r="X90" s="196">
        <f t="shared" si="40"/>
        <v>2.41</v>
      </c>
      <c r="Y90" s="196">
        <f t="shared" si="41"/>
        <v>2.41</v>
      </c>
      <c r="Z90" s="196">
        <f t="shared" si="42"/>
        <v>-0.58999999999999986</v>
      </c>
      <c r="AA90" s="220">
        <f>90000/12</f>
        <v>7500</v>
      </c>
      <c r="AB90" s="207" t="s">
        <v>147</v>
      </c>
      <c r="AC90" s="196">
        <v>1.8</v>
      </c>
      <c r="AD90" s="127"/>
      <c r="AE90" s="197"/>
      <c r="AF90" s="197"/>
      <c r="AG90" s="209" t="s">
        <v>137</v>
      </c>
      <c r="AH90" s="127" t="s">
        <v>222</v>
      </c>
      <c r="AI90" s="127">
        <v>0</v>
      </c>
      <c r="AJ90" s="127">
        <v>0</v>
      </c>
      <c r="AK90" s="127">
        <f t="shared" si="43"/>
        <v>0</v>
      </c>
      <c r="AL90" s="127">
        <f t="shared" si="44"/>
        <v>0</v>
      </c>
      <c r="AM90" s="127">
        <v>0</v>
      </c>
      <c r="AN90" s="127"/>
      <c r="AO90" s="127"/>
      <c r="AP90" s="127"/>
      <c r="AQ90" s="127"/>
      <c r="AR90" s="127"/>
      <c r="AS90" s="127"/>
      <c r="AT90" s="127"/>
      <c r="AU90" s="127"/>
      <c r="AV90" s="127"/>
      <c r="AW90" s="127"/>
      <c r="AX90" s="127"/>
      <c r="AY90" s="127"/>
      <c r="AZ90" s="127"/>
      <c r="BA90" s="127"/>
      <c r="BB90" s="127"/>
    </row>
    <row r="91" spans="1:54 16151:16384" ht="12.75" customHeight="1" x14ac:dyDescent="0.3">
      <c r="A91" s="223" t="s">
        <v>29</v>
      </c>
      <c r="B91" s="223" t="s">
        <v>149</v>
      </c>
      <c r="C91" s="127" t="s">
        <v>256</v>
      </c>
      <c r="D91" s="127" t="s">
        <v>144</v>
      </c>
      <c r="E91" s="127" t="s">
        <v>131</v>
      </c>
      <c r="F91" s="127" t="s">
        <v>132</v>
      </c>
      <c r="G91" s="127" t="s">
        <v>133</v>
      </c>
      <c r="H91" s="127" t="s">
        <v>134</v>
      </c>
      <c r="I91" s="127" t="str">
        <f t="shared" si="34"/>
        <v>No of Racks</v>
      </c>
      <c r="J91" s="127">
        <v>11</v>
      </c>
      <c r="K91" s="127">
        <v>11</v>
      </c>
      <c r="L91" s="195">
        <f t="shared" si="35"/>
        <v>0</v>
      </c>
      <c r="M91" s="196">
        <f t="shared" si="36"/>
        <v>11</v>
      </c>
      <c r="N91" s="196">
        <f t="shared" si="37"/>
        <v>0</v>
      </c>
      <c r="O91" s="196"/>
      <c r="P91" s="196" t="s">
        <v>147</v>
      </c>
      <c r="Q91" s="200" t="s">
        <v>6</v>
      </c>
      <c r="R91" s="196">
        <v>60</v>
      </c>
      <c r="S91" s="196">
        <v>87.52</v>
      </c>
      <c r="T91" s="195">
        <f t="shared" si="39"/>
        <v>-27.519999999999996</v>
      </c>
      <c r="U91" s="127">
        <v>0</v>
      </c>
      <c r="V91" s="196">
        <f>IF(T91&lt;=0,0,(IF(P91="Rated",(T91+U91)*$V$1,(T91+U91))))</f>
        <v>0</v>
      </c>
      <c r="W91" s="127">
        <f>IF(P91="Rated",R91*$V$1,R91)</f>
        <v>30</v>
      </c>
      <c r="X91" s="196">
        <f t="shared" si="40"/>
        <v>87.52</v>
      </c>
      <c r="Y91" s="196">
        <f t="shared" si="41"/>
        <v>87.52</v>
      </c>
      <c r="Z91" s="196">
        <f t="shared" si="42"/>
        <v>27.519999999999996</v>
      </c>
      <c r="AA91" s="127"/>
      <c r="AB91" s="127" t="s">
        <v>147</v>
      </c>
      <c r="AC91" s="196">
        <v>1.8</v>
      </c>
      <c r="AD91" s="127"/>
      <c r="AE91" s="127"/>
      <c r="AF91" s="245"/>
      <c r="AG91" s="209" t="s">
        <v>137</v>
      </c>
      <c r="AH91" s="127" t="s">
        <v>222</v>
      </c>
      <c r="AI91" s="127">
        <v>0</v>
      </c>
      <c r="AJ91" s="127">
        <v>0</v>
      </c>
      <c r="AK91" s="127">
        <f t="shared" si="43"/>
        <v>0</v>
      </c>
      <c r="AL91" s="127">
        <f t="shared" si="44"/>
        <v>0</v>
      </c>
      <c r="AM91" s="127"/>
      <c r="AN91" s="127"/>
      <c r="AO91" s="127"/>
      <c r="AP91" s="127"/>
      <c r="AQ91" s="127"/>
      <c r="AR91" s="127"/>
      <c r="AS91" s="127"/>
      <c r="AT91" s="127"/>
      <c r="AU91" s="127"/>
      <c r="AV91" s="127"/>
      <c r="AW91" s="127"/>
      <c r="AX91" s="127"/>
      <c r="AY91" s="127"/>
      <c r="AZ91" s="127"/>
      <c r="BA91" s="127"/>
      <c r="BB91" s="127"/>
    </row>
    <row r="92" spans="1:54 16151:16384" ht="12.75" customHeight="1" x14ac:dyDescent="0.3">
      <c r="A92" s="223" t="s">
        <v>29</v>
      </c>
      <c r="B92" s="223" t="s">
        <v>162</v>
      </c>
      <c r="C92" s="127" t="s">
        <v>257</v>
      </c>
      <c r="D92" s="127" t="s">
        <v>144</v>
      </c>
      <c r="E92" s="127" t="s">
        <v>131</v>
      </c>
      <c r="F92" s="127" t="s">
        <v>132</v>
      </c>
      <c r="G92" s="127" t="s">
        <v>133</v>
      </c>
      <c r="H92" s="127" t="s">
        <v>134</v>
      </c>
      <c r="I92" s="127" t="str">
        <f t="shared" ref="I92" si="46">IF(G92="Rack","No of Racks",(IF(G92="Space","Sq Ft","U Space")))</f>
        <v>No of Racks</v>
      </c>
      <c r="J92" s="127">
        <v>2</v>
      </c>
      <c r="K92" s="127">
        <v>2</v>
      </c>
      <c r="L92" s="195">
        <f t="shared" ref="L92:L93" si="47">J92-K92</f>
        <v>0</v>
      </c>
      <c r="M92" s="196">
        <f t="shared" ref="M92:M93" si="48">J92</f>
        <v>2</v>
      </c>
      <c r="N92" s="196">
        <f t="shared" ref="N92:N93" si="49">J92-M92</f>
        <v>0</v>
      </c>
      <c r="O92" s="196"/>
      <c r="P92" s="196" t="s">
        <v>147</v>
      </c>
      <c r="Q92" s="200" t="s">
        <v>6</v>
      </c>
      <c r="R92" s="196">
        <v>10</v>
      </c>
      <c r="S92" s="196">
        <v>67.31</v>
      </c>
      <c r="T92" s="195">
        <f t="shared" ref="T92" si="50">R92-S92</f>
        <v>-57.31</v>
      </c>
      <c r="U92" s="127">
        <v>0</v>
      </c>
      <c r="V92" s="196">
        <f>IF(T92&lt;=0,0,(IF(P92="Rated",(T92+U92)*$V$1,(T92+U92))))</f>
        <v>0</v>
      </c>
      <c r="W92" s="127">
        <f>IF(P92="Rated",R92*$V$1,R92)</f>
        <v>5</v>
      </c>
      <c r="X92" s="196">
        <f t="shared" ref="X92" si="51">S92</f>
        <v>67.31</v>
      </c>
      <c r="Y92" s="196">
        <f t="shared" ref="Y92" si="52">S92</f>
        <v>67.31</v>
      </c>
      <c r="Z92" s="196">
        <f t="shared" ref="Z92" si="53">T92*-1</f>
        <v>57.31</v>
      </c>
      <c r="AA92" s="127"/>
      <c r="AB92" s="127" t="s">
        <v>147</v>
      </c>
      <c r="AC92" s="196">
        <v>1.8</v>
      </c>
      <c r="AD92" s="127"/>
      <c r="AE92" s="127"/>
      <c r="AF92" s="245"/>
      <c r="AG92" s="209" t="s">
        <v>137</v>
      </c>
      <c r="AH92" s="127" t="s">
        <v>222</v>
      </c>
      <c r="AI92" s="127">
        <v>0</v>
      </c>
      <c r="AJ92" s="127">
        <v>0</v>
      </c>
      <c r="AK92" s="127">
        <f t="shared" ref="AK92" si="54">AI92-AJ92</f>
        <v>0</v>
      </c>
      <c r="AL92" s="127">
        <f t="shared" ref="AL92" si="55">AI92</f>
        <v>0</v>
      </c>
      <c r="AM92" s="127"/>
      <c r="AN92" s="127"/>
      <c r="AO92" s="127"/>
      <c r="AP92" s="127"/>
      <c r="AQ92" s="127"/>
      <c r="AR92" s="127"/>
      <c r="AS92" s="127"/>
      <c r="AT92" s="127"/>
      <c r="AU92" s="127"/>
      <c r="AV92" s="127"/>
      <c r="AW92" s="127"/>
      <c r="AX92" s="127"/>
      <c r="AY92" s="127"/>
      <c r="AZ92" s="127"/>
      <c r="BA92" s="127"/>
      <c r="BB92" s="127"/>
    </row>
    <row r="93" spans="1:54 16151:16384" ht="12.75" customHeight="1" x14ac:dyDescent="0.3">
      <c r="A93" s="223" t="s">
        <v>29</v>
      </c>
      <c r="B93" s="223" t="s">
        <v>141</v>
      </c>
      <c r="C93" s="127" t="s">
        <v>258</v>
      </c>
      <c r="D93" s="127"/>
      <c r="E93" s="127"/>
      <c r="F93" s="127"/>
      <c r="G93" s="127"/>
      <c r="H93" s="127"/>
      <c r="I93" s="127" t="str">
        <f>IF(G93="Rack","No of Racks",(IF(G93="Space","Sq Ft","U Space")))</f>
        <v>U Space</v>
      </c>
      <c r="J93" s="127">
        <v>21</v>
      </c>
      <c r="K93" s="127">
        <v>21</v>
      </c>
      <c r="L93" s="195">
        <f t="shared" si="47"/>
        <v>0</v>
      </c>
      <c r="M93" s="196">
        <f t="shared" si="48"/>
        <v>21</v>
      </c>
      <c r="N93" s="196">
        <f t="shared" si="49"/>
        <v>0</v>
      </c>
      <c r="O93" s="196"/>
      <c r="P93" s="196" t="s">
        <v>147</v>
      </c>
      <c r="Q93" s="200" t="s">
        <v>6</v>
      </c>
      <c r="R93" s="196">
        <v>1.5</v>
      </c>
      <c r="S93" s="196">
        <v>0</v>
      </c>
      <c r="T93" s="195">
        <f t="shared" ref="T93" si="56">R93-S93</f>
        <v>1.5</v>
      </c>
      <c r="U93" s="127">
        <v>0</v>
      </c>
      <c r="V93" s="196">
        <f>IF(T93&lt;=0,0,(IF(P93="Rated",(T93+U93)*$V$1,(T93+U93))))</f>
        <v>0.75</v>
      </c>
      <c r="W93" s="127">
        <f>IF(P93="Rated",R93*$V$1,R93)</f>
        <v>0.75</v>
      </c>
      <c r="X93" s="196">
        <f t="shared" ref="X93" si="57">S93</f>
        <v>0</v>
      </c>
      <c r="Y93" s="196">
        <f t="shared" ref="Y93" si="58">S93</f>
        <v>0</v>
      </c>
      <c r="Z93" s="196">
        <f t="shared" ref="Z93" si="59">T93*-1</f>
        <v>-1.5</v>
      </c>
      <c r="AA93" s="127"/>
      <c r="AB93" s="127" t="s">
        <v>147</v>
      </c>
      <c r="AC93" s="196">
        <v>1.8</v>
      </c>
      <c r="AD93" s="127"/>
      <c r="AE93" s="127"/>
      <c r="AF93" s="245"/>
      <c r="AG93" s="209" t="s">
        <v>137</v>
      </c>
      <c r="AH93" s="127" t="s">
        <v>222</v>
      </c>
      <c r="AI93" s="127">
        <v>0</v>
      </c>
      <c r="AJ93" s="127">
        <v>0</v>
      </c>
      <c r="AK93" s="127">
        <f t="shared" ref="AK93" si="60">AI93-AJ93</f>
        <v>0</v>
      </c>
      <c r="AL93" s="127">
        <f t="shared" ref="AL93" si="61">AI93</f>
        <v>0</v>
      </c>
      <c r="AM93" s="127"/>
      <c r="AN93" s="127"/>
      <c r="AO93" s="127"/>
      <c r="AP93" s="127"/>
      <c r="AQ93" s="127"/>
    </row>
    <row r="102" spans="5:5" ht="12.75" customHeight="1" x14ac:dyDescent="0.3">
      <c r="E102" s="240"/>
    </row>
  </sheetData>
  <mergeCells count="7">
    <mergeCell ref="AO2:AU2"/>
    <mergeCell ref="AV2:AY2"/>
    <mergeCell ref="E2:F2"/>
    <mergeCell ref="G2:O2"/>
    <mergeCell ref="P2:AA2"/>
    <mergeCell ref="AB2:AF2"/>
    <mergeCell ref="AG2:AN2"/>
  </mergeCells>
  <conditionalFormatting sqref="AA4:AA10 AA12:AA16 AA18:AA25 AA27 AA33:AA35">
    <cfRule type="cellIs" dxfId="19" priority="4" operator="lessThanOrEqual">
      <formula>0</formula>
    </cfRule>
    <cfRule type="cellIs" dxfId="18" priority="5" operator="lessThanOrEqual">
      <formula>0</formula>
    </cfRule>
  </conditionalFormatting>
  <conditionalFormatting sqref="AA11 AA17 AA26 AA28:AA32 AA36:AA57">
    <cfRule type="cellIs" dxfId="17" priority="6" operator="lessThanOrEqual">
      <formula>0</formula>
    </cfRule>
    <cfRule type="cellIs" dxfId="16" priority="7" operator="lessThanOrEqual">
      <formula>0</formula>
    </cfRule>
  </conditionalFormatting>
  <conditionalFormatting sqref="AA74:AA76">
    <cfRule type="cellIs" dxfId="15" priority="8" operator="lessThanOrEqual">
      <formula>0</formula>
    </cfRule>
    <cfRule type="cellIs" dxfId="14" priority="9" operator="lessThanOrEqual">
      <formula>0</formula>
    </cfRule>
  </conditionalFormatting>
  <conditionalFormatting sqref="AA82:AA88">
    <cfRule type="cellIs" dxfId="13" priority="2" operator="lessThanOrEqual">
      <formula>0</formula>
    </cfRule>
    <cfRule type="cellIs" dxfId="12" priority="3" operator="lessThanOrEqual">
      <formula>0</formula>
    </cfRule>
  </conditionalFormatting>
  <conditionalFormatting sqref="AA90">
    <cfRule type="cellIs" dxfId="11" priority="10" operator="lessThanOrEqual">
      <formula>0</formula>
    </cfRule>
    <cfRule type="cellIs" dxfId="10" priority="11" operator="lessThanOrEqual">
      <formula>0</formula>
    </cfRule>
  </conditionalFormatting>
  <dataValidations count="16">
    <dataValidation type="list" allowBlank="1" showInputMessage="1" showErrorMessage="1" sqref="IC82:IC88 RY82:RY88 ABU82:ABU88 ALQ82:ALQ88 AVM82:AVM88 BFI82:BFI88 BPE82:BPE88 BZA82:BZA88 CIW82:CIW88 CSS82:CSS88 DCO82:DCO88 DMK82:DMK88 DWG82:DWG88 EGC82:EGC88 EPY82:EPY88 EZU82:EZU88 FJQ82:FJQ88 FTM82:FTM88 GDI82:GDI88 GNE82:GNE88 GXA82:GXA88 HGW82:HGW88 HQS82:HQS88 IAO82:IAO88 IKK82:IKK88 IUG82:IUG88 JEC82:JEC88 JNY82:JNY88 JXU82:JXU88 KHQ82:KHQ88 KRM82:KRM88 LBI82:LBI88 LLE82:LLE88 LVA82:LVA88 MEW82:MEW88 MOS82:MOS88 MYO82:MYO88 NIK82:NIK88 NSG82:NSG88 OCC82:OCC88 OLY82:OLY88 OVU82:OVU88 PFQ82:PFQ88 PPM82:PPM88 PZI82:PZI88 QJE82:QJE88 QTA82:QTA88 RCW82:RCW88 RMS82:RMS88 RWO82:RWO88 SGK82:SGK88 SQG82:SQG88 TAC82:TAC88 TJY82:TJY88 TTU82:TTU88 UDQ82:UDQ88 UNM82:UNM88 UXI82:UXI88 VHE82:VHE88 VRA82:VRA88 WAW82:WAW88 WKS82:WKS88 WUO82:WUO88 E5:E90" xr:uid="{00000000-0002-0000-0300-000000000000}">
      <formula1>"Rated,Subscribed"</formula1>
      <formula2>0</formula2>
    </dataValidation>
    <dataValidation type="list" allowBlank="1" showInputMessage="1" showErrorMessage="1" sqref="ID82:ID88 RZ82:RZ88 ABV82:ABV88 ALR82:ALR88 AVN82:AVN88 BFJ82:BFJ88 BPF82:BPF88 BZB82:BZB88 CIX82:CIX88 CST82:CST88 DCP82:DCP88 DML82:DML88 DWH82:DWH88 EGD82:EGD88 EPZ82:EPZ88 EZV82:EZV88 FJR82:FJR88 FTN82:FTN88 GDJ82:GDJ88 GNF82:GNF88 GXB82:GXB88 HGX82:HGX88 HQT82:HQT88 IAP82:IAP88 IKL82:IKL88 IUH82:IUH88 JED82:JED88 JNZ82:JNZ88 JXV82:JXV88 KHR82:KHR88 KRN82:KRN88 LBJ82:LBJ88 LLF82:LLF88 LVB82:LVB88 MEX82:MEX88 MOT82:MOT88 MYP82:MYP88 NIL82:NIL88 NSH82:NSH88 OCD82:OCD88 OLZ82:OLZ88 OVV82:OVV88 PFR82:PFR88 PPN82:PPN88 PZJ82:PZJ88 QJF82:QJF88 QTB82:QTB88 RCX82:RCX88 RMT82:RMT88 RWP82:RWP88 SGL82:SGL88 SQH82:SQH88 TAD82:TAD88 TJZ82:TJZ88 TTV82:TTV88 UDR82:UDR88 UNN82:UNN88 UXJ82:UXJ88 VHF82:VHF88 VRB82:VRB88 WAX82:WAX88 WKT82:WKT88 WUP82:WUP88 F5:F90" xr:uid="{00000000-0002-0000-0300-000001000000}">
      <formula1>"Bundled,Metered"</formula1>
      <formula2>0</formula2>
    </dataValidation>
    <dataValidation type="list" allowBlank="1" showInputMessage="1" showErrorMessage="1" promptTitle="Rack, U Space, Cage" sqref="G80:G88 IE82:IE88 SA82:SA88 ABW82:ABW88 ALS82:ALS88 AVO82:AVO88 BFK82:BFK88 BPG82:BPG88 BZC82:BZC88 CIY82:CIY88 CSU82:CSU88 DCQ82:DCQ88 DMM82:DMM88 DWI82:DWI88 EGE82:EGE88 EQA82:EQA88 EZW82:EZW88 FJS82:FJS88 FTO82:FTO88 GDK82:GDK88 GNG82:GNG88 GXC82:GXC88 HGY82:HGY88 HQU82:HQU88 IAQ82:IAQ88 IKM82:IKM88 IUI82:IUI88 JEE82:JEE88 JOA82:JOA88 JXW82:JXW88 KHS82:KHS88 KRO82:KRO88 LBK82:LBK88 LLG82:LLG88 LVC82:LVC88 MEY82:MEY88 MOU82:MOU88 MYQ82:MYQ88 NIM82:NIM88 NSI82:NSI88 OCE82:OCE88 OMA82:OMA88 OVW82:OVW88 PFS82:PFS88 PPO82:PPO88 PZK82:PZK88 QJG82:QJG88 QTC82:QTC88 RCY82:RCY88 RMU82:RMU88 RWQ82:RWQ88 SGM82:SGM88 SQI82:SQI88 TAE82:TAE88 TKA82:TKA88 TTW82:TTW88 UDS82:UDS88 UNO82:UNO88 UXK82:UXK88 VHG82:VHG88 VRC82:VRC88 WAY82:WAY88 WKU82:WKU88 WUQ82:WUQ88 G4:G39" xr:uid="{00000000-0002-0000-0300-000002000000}">
      <formula1>"Space,Rack,U space"</formula1>
      <formula2>0</formula2>
    </dataValidation>
    <dataValidation type="list" allowBlank="1" showInputMessage="1" showErrorMessage="1" promptTitle="Rack, U Space, Cage" sqref="IF82:IF88 SB82:SB88 ABX82:ABX88 ALT82:ALT88 AVP82:AVP88 BFL82:BFL88 BPH82:BPH88 BZD82:BZD88 CIZ82:CIZ88 CSV82:CSV88 DCR82:DCR88 DMN82:DMN88 DWJ82:DWJ88 EGF82:EGF88 EQB82:EQB88 EZX82:EZX88 FJT82:FJT88 FTP82:FTP88 GDL82:GDL88 GNH82:GNH88 GXD82:GXD88 HGZ82:HGZ88 HQV82:HQV88 IAR82:IAR88 IKN82:IKN88 IUJ82:IUJ88 JEF82:JEF88 JOB82:JOB88 JXX82:JXX88 KHT82:KHT88 KRP82:KRP88 LBL82:LBL88 LLH82:LLH88 LVD82:LVD88 MEZ82:MEZ88 MOV82:MOV88 MYR82:MYR88 NIN82:NIN88 NSJ82:NSJ88 OCF82:OCF88 OMB82:OMB88 OVX82:OVX88 PFT82:PFT88 PPP82:PPP88 PZL82:PZL88 QJH82:QJH88 QTD82:QTD88 RCZ82:RCZ88 RMV82:RMV88 RWR82:RWR88 SGN82:SGN88 SQJ82:SQJ88 TAF82:TAF88 TKB82:TKB88 TTX82:TTX88 UDT82:UDT88 UNP82:UNP88 UXL82:UXL88 VHH82:VHH88 VRD82:VRD88 WAZ82:WAZ88 WKV82:WKV88 WUR82:WUR88 H4:H90" xr:uid="{00000000-0002-0000-0300-000003000000}">
      <formula1>"Caged,Uncaged"</formula1>
      <formula2>0</formula2>
    </dataValidation>
    <dataValidation type="list" allowBlank="1" showInputMessage="1" showErrorMessage="1" sqref="IO82:IO88 SK82:SK88 ACG82:ACG88 AMC82:AMC88 AVY82:AVY88 BFU82:BFU88 BPQ82:BPQ88 BZM82:BZM88 CJI82:CJI88 CTE82:CTE88 DDA82:DDA88 DMW82:DMW88 DWS82:DWS88 EGO82:EGO88 EQK82:EQK88 FAG82:FAG88 FKC82:FKC88 FTY82:FTY88 GDU82:GDU88 GNQ82:GNQ88 GXM82:GXM88 HHI82:HHI88 HRE82:HRE88 IBA82:IBA88 IKW82:IKW88 IUS82:IUS88 JEO82:JEO88 JOK82:JOK88 JYG82:JYG88 KIC82:KIC88 KRY82:KRY88 LBU82:LBU88 LLQ82:LLQ88 LVM82:LVM88 MFI82:MFI88 MPE82:MPE88 MZA82:MZA88 NIW82:NIW88 NSS82:NSS88 OCO82:OCO88 OMK82:OMK88 OWG82:OWG88 PGC82:PGC88 PPY82:PPY88 PZU82:PZU88 QJQ82:QJQ88 QTM82:QTM88 RDI82:RDI88 RNE82:RNE88 RXA82:RXA88 SGW82:SGW88 SQS82:SQS88 TAO82:TAO88 TKK82:TKK88 TUG82:TUG88 UEC82:UEC88 UNY82:UNY88 UXU82:UXU88 VHQ82:VHQ88 VRM82:VRM88 WBI82:WBI88 WLE82:WLE88 WVA82:WVA88 Q80:Q89" xr:uid="{00000000-0002-0000-0300-000004000000}">
      <formula1>"KW,KVA"</formula1>
      <formula2>0</formula2>
    </dataValidation>
    <dataValidation type="list" allowBlank="1" showInputMessage="1" showErrorMessage="1" sqref="AD81:AD88 JA82:JA88 SW82:SW88 ACS82:ACS88 AMO82:AMO88 AWK82:AWK88 BGG82:BGG88 BQC82:BQC88 BZY82:BZY88 CJU82:CJU88 CTQ82:CTQ88 DDM82:DDM88 DNI82:DNI88 DXE82:DXE88 EHA82:EHA88 EQW82:EQW88 FAS82:FAS88 FKO82:FKO88 FUK82:FUK88 GEG82:GEG88 GOC82:GOC88 GXY82:GXY88 HHU82:HHU88 HRQ82:HRQ88 IBM82:IBM88 ILI82:ILI88 IVE82:IVE88 JFA82:JFA88 JOW82:JOW88 JYS82:JYS88 KIO82:KIO88 KSK82:KSK88 LCG82:LCG88 LMC82:LMC88 LVY82:LVY88 MFU82:MFU88 MPQ82:MPQ88 MZM82:MZM88 NJI82:NJI88 NTE82:NTE88 ODA82:ODA88 OMW82:OMW88 OWS82:OWS88 PGO82:PGO88 PQK82:PQK88 QAG82:QAG88 QKC82:QKC88 QTY82:QTY88 RDU82:RDU88 RNQ82:RNQ88 RXM82:RXM88 SHI82:SHI88 SRE82:SRE88 TBA82:TBA88 TKW82:TKW88 TUS82:TUS88 UEO82:UEO88 UOK82:UOK88 UYG82:UYG88 VIC82:VIC88 VRY82:VRY88 WBU82:WBU88 WLQ82:WLQ88 WVM82:WVM88 AD4:AD39" xr:uid="{00000000-0002-0000-0300-000005000000}">
      <formula1>"Fixed,Variable"</formula1>
      <formula2>0</formula2>
    </dataValidation>
    <dataValidation type="list" allowBlank="1" showInputMessage="1" showErrorMessage="1" sqref="JD82:JD88 SZ82:SZ88 ACV82:ACV88 AMR82:AMR88 AWN82:AWN88 BGJ82:BGJ88 BQF82:BQF88 CAB82:CAB88 CJX82:CJX88 CTT82:CTT88 DDP82:DDP88 DNL82:DNL88 DXH82:DXH88 EHD82:EHD88 EQZ82:EQZ88 FAV82:FAV88 FKR82:FKR88 FUN82:FUN88 GEJ82:GEJ88 GOF82:GOF88 GYB82:GYB88 HHX82:HHX88 HRT82:HRT88 IBP82:IBP88 ILL82:ILL88 IVH82:IVH88 JFD82:JFD88 JOZ82:JOZ88 JYV82:JYV88 KIR82:KIR88 KSN82:KSN88 LCJ82:LCJ88 LMF82:LMF88 LWB82:LWB88 MFX82:MFX88 MPT82:MPT88 MZP82:MZP88 NJL82:NJL88 NTH82:NTH88 ODD82:ODD88 OMZ82:OMZ88 OWV82:OWV88 PGR82:PGR88 PQN82:PQN88 QAJ82:QAJ88 QKF82:QKF88 QUB82:QUB88 RDX82:RDX88 RNT82:RNT88 RXP82:RXP88 SHL82:SHL88 SRH82:SRH88 TBD82:TBD88 TKZ82:TKZ88 TUV82:TUV88 UER82:UER88 UON82:UON88 UYJ82:UYJ88 VIF82:VIF88 VSB82:VSB88 WBX82:WBX88 WLT82:WLT88 WVP82:WVP88 AG4:AG93" xr:uid="{00000000-0002-0000-0300-000006000000}">
      <formula1>"No of Seats,Space"</formula1>
      <formula2>0</formula2>
    </dataValidation>
    <dataValidation type="list" allowBlank="1" showInputMessage="1" showErrorMessage="1" sqref="AU82:AU88 JR82:JR88 TN82:TN88 ADJ82:ADJ88 ANF82:ANF88 AXB82:AXB88 BGX82:BGX88 BQT82:BQT88 CAP82:CAP88 CKL82:CKL88 CUH82:CUH88 DED82:DED88 DNZ82:DNZ88 DXV82:DXV88 EHR82:EHR88 ERN82:ERN88 FBJ82:FBJ88 FLF82:FLF88 FVB82:FVB88 GEX82:GEX88 GOT82:GOT88 GYP82:GYP88 HIL82:HIL88 HSH82:HSH88 ICD82:ICD88 ILZ82:ILZ88 IVV82:IVV88 JFR82:JFR88 JPN82:JPN88 JZJ82:JZJ88 KJF82:KJF88 KTB82:KTB88 LCX82:LCX88 LMT82:LMT88 LWP82:LWP88 MGL82:MGL88 MQH82:MQH88 NAD82:NAD88 NJZ82:NJZ88 NTV82:NTV88 ODR82:ODR88 ONN82:ONN88 OXJ82:OXJ88 PHF82:PHF88 PRB82:PRB88 QAX82:QAX88 QKT82:QKT88 QUP82:QUP88 REL82:REL88 ROH82:ROH88 RYD82:RYD88 SHZ82:SHZ88 SRV82:SRV88 TBR82:TBR88 TLN82:TLN88 TVJ82:TVJ88 UFF82:UFF88 UPB82:UPB88 UYX82:UYX88 VIT82:VIT88 VSP82:VSP88 WCL82:WCL88 WMH82:WMH88 WWD82:WWD88" xr:uid="{00000000-0002-0000-0300-000007000000}">
      <formula1>"Qtrly Adv,Qtry Ars,Monthly Adv,Monthly Ars"</formula1>
      <formula2>0</formula2>
    </dataValidation>
    <dataValidation type="list" operator="equal" allowBlank="1" showInputMessage="1" showErrorMessage="1" sqref="Q90:Q93 WVA4:WVA38 WLE4:WLE38 WBI4:WBI38 VRM4:VRM38 VHQ4:VHQ38 UXU4:UXU38 UNY4:UNY38 UEC4:UEC38 TUG4:TUG38 TKK4:TKK38 TAO4:TAO38 SQS4:SQS38 SGW4:SGW38 RXA4:RXA38 RNE4:RNE38 RDI4:RDI38 QTM4:QTM38 QJQ4:QJQ38 PZU4:PZU38 PPY4:PPY38 PGC4:PGC38 OWG4:OWG38 OMK4:OMK38 OCO4:OCO38 NSS4:NSS38 NIW4:NIW38 MZA4:MZA38 MPE4:MPE38 MFI4:MFI38 LVM4:LVM38 LLQ4:LLQ38 LBU4:LBU38 KRY4:KRY38 KIC4:KIC38 JYG4:JYG38 JOK4:JOK38 JEO4:JEO38 IUS4:IUS38 IKW4:IKW38 IBA4:IBA38 HRE4:HRE38 HHI4:HHI38 GXM4:GXM38 GNQ4:GNQ38 GDU4:GDU38 FTY4:FTY38 FKC4:FKC38 FAG4:FAG38 EQK4:EQK38 EGO4:EGO38 DWS4:DWS38 DMW4:DMW38 DDA4:DDA38 CTE4:CTE38 CJI4:CJI38 BZM4:BZM38 BPQ4:BPQ38 BFU4:BFU38 AVY4:AVY38 AMC4:AMC38 ACG4:ACG38 SK4:SK38 IO4:IO38 Q4:Q79" xr:uid="{00000000-0002-0000-0300-00000A000000}">
      <formula1>"KW,KVA"</formula1>
      <formula2>0</formula2>
    </dataValidation>
    <dataValidation type="list" operator="equal" allowBlank="1" showInputMessage="1" showErrorMessage="1" sqref="JA4:JA38 WVM4:WVM38 WLQ4:WLQ38 WBU4:WBU38 VRY4:VRY38 VIC4:VIC38 UYG4:UYG38 UOK4:UOK38 UEO4:UEO38 TUS4:TUS38 TKW4:TKW38 TBA4:TBA38 SRE4:SRE38 SHI4:SHI38 RXM4:RXM38 RNQ4:RNQ38 RDU4:RDU38 QTY4:QTY38 QKC4:QKC38 QAG4:QAG38 PQK4:PQK38 PGO4:PGO38 OWS4:OWS38 OMW4:OMW38 ODA4:ODA38 NTE4:NTE38 NJI4:NJI38 MZM4:MZM38 MPQ4:MPQ38 MFU4:MFU38 LVY4:LVY38 LMC4:LMC38 LCG4:LCG38 KSK4:KSK38 KIO4:KIO38 JYS4:JYS38 JOW4:JOW38 JFA4:JFA38 IVE4:IVE38 ILI4:ILI38 IBM4:IBM38 HRQ4:HRQ38 HHU4:HHU38 GXY4:GXY38 GOC4:GOC38 GEG4:GEG38 FUK4:FUK38 FKO4:FKO38 FAS4:FAS38 EQW4:EQW38 EHA4:EHA38 DXE4:DXE38 DNI4:DNI38 DDM4:DDM38 CTQ4:CTQ38 CJU4:CJU38 BZY4:BZY38 BQC4:BQC38 BGG4:BGG38 AWK4:AWK38 AMO4:AMO38 ACS4:ACS38 SW4:SW38" xr:uid="{00000000-0002-0000-0300-000008000000}">
      <formula1>"Fixed,Variable"</formula1>
      <formula2>0</formula2>
    </dataValidation>
    <dataValidation type="list" operator="equal" allowBlank="1" showInputMessage="1" showErrorMessage="1" sqref="AU4:AU38 WWD4:WWD38 WMH4:WMH38 WCL4:WCL38 VSP4:VSP38 VIT4:VIT38 UYX4:UYX38 UPB4:UPB38 UFF4:UFF38 TVJ4:TVJ38 TLN4:TLN38 TBR4:TBR38 SRV4:SRV38 SHZ4:SHZ38 RYD4:RYD38 ROH4:ROH38 REL4:REL38 QUP4:QUP38 QKT4:QKT38 QAX4:QAX38 PRB4:PRB38 PHF4:PHF38 OXJ4:OXJ38 ONN4:ONN38 ODR4:ODR38 NTV4:NTV38 NJZ4:NJZ38 NAD4:NAD38 MQH4:MQH38 MGL4:MGL38 LWP4:LWP38 LMT4:LMT38 LCX4:LCX38 KTB4:KTB38 KJF4:KJF38 JZJ4:JZJ38 JPN4:JPN38 JFR4:JFR38 IVV4:IVV38 ILZ4:ILZ38 ICD4:ICD38 HSH4:HSH38 HIL4:HIL38 GYP4:GYP38 GOT4:GOT38 GEX4:GEX38 FVB4:FVB38 FLF4:FLF38 FBJ4:FBJ38 ERN4:ERN38 EHR4:EHR38 DXV4:DXV38 DNZ4:DNZ38 DED4:DED38 CUH4:CUH38 CKL4:CKL38 CAP4:CAP38 BQT4:BQT38 BGX4:BGX38 AXB4:AXB38 ANF4:ANF38 ADJ4:ADJ38 TN4:TN38 JR4:JR38" xr:uid="{00000000-0002-0000-0300-000009000000}">
      <formula1>"Qtrly Adv,Qtry Ars,Monthly Adv,Monthly Ars"</formula1>
      <formula2>0</formula2>
    </dataValidation>
    <dataValidation type="list" operator="equal" allowBlank="1" showInputMessage="1" showErrorMessage="1" sqref="JD4:JD38 WVP4:WVP38 WLT4:WLT38 WBX4:WBX38 VSB4:VSB38 VIF4:VIF38 UYJ4:UYJ38 UON4:UON38 UER4:UER38 TUV4:TUV38 TKZ4:TKZ38 TBD4:TBD38 SRH4:SRH38 SHL4:SHL38 RXP4:RXP38 RNT4:RNT38 RDX4:RDX38 QUB4:QUB38 QKF4:QKF38 QAJ4:QAJ38 PQN4:PQN38 PGR4:PGR38 OWV4:OWV38 OMZ4:OMZ38 ODD4:ODD38 NTH4:NTH38 NJL4:NJL38 MZP4:MZP38 MPT4:MPT38 MFX4:MFX38 LWB4:LWB38 LMF4:LMF38 LCJ4:LCJ38 KSN4:KSN38 KIR4:KIR38 JYV4:JYV38 JOZ4:JOZ38 JFD4:JFD38 IVH4:IVH38 ILL4:ILL38 IBP4:IBP38 HRT4:HRT38 HHX4:HHX38 GYB4:GYB38 GOF4:GOF38 GEJ4:GEJ38 FUN4:FUN38 FKR4:FKR38 FAV4:FAV38 EQZ4:EQZ38 EHD4:EHD38 DXH4:DXH38 DNL4:DNL38 DDP4:DDP38 CTT4:CTT38 CJX4:CJX38 CAB4:CAB38 BQF4:BQF38 BGJ4:BGJ38 AWN4:AWN38 AMR4:AMR38 ACV4:ACV38 SZ4:SZ38" xr:uid="{00000000-0002-0000-0300-00000B000000}">
      <formula1>"No of Seats,Space"</formula1>
      <formula2>0</formula2>
    </dataValidation>
    <dataValidation type="list" operator="equal" allowBlank="1" showInputMessage="1" showErrorMessage="1" promptTitle="Rack, U Space, Cage" sqref="IE4:IE38 WUQ4:WUQ38 WKU4:WKU38 WAY4:WAY38 VRC4:VRC38 VHG4:VHG38 UXK4:UXK38 UNO4:UNO38 UDS4:UDS38 TTW4:TTW38 TKA4:TKA38 TAE4:TAE38 SQI4:SQI38 SGM4:SGM38 RWQ4:RWQ38 RMU4:RMU38 RCY4:RCY38 QTC4:QTC38 QJG4:QJG38 PZK4:PZK38 PPO4:PPO38 PFS4:PFS38 OVW4:OVW38 OMA4:OMA38 OCE4:OCE38 NSI4:NSI38 NIM4:NIM38 MYQ4:MYQ38 MOU4:MOU38 MEY4:MEY38 LVC4:LVC38 LLG4:LLG38 LBK4:LBK38 KRO4:KRO38 KHS4:KHS38 JXW4:JXW38 JOA4:JOA38 JEE4:JEE38 IUI4:IUI38 IKM4:IKM38 IAQ4:IAQ38 HQU4:HQU38 HGY4:HGY38 GXC4:GXC38 GNG4:GNG38 GDK4:GDK38 FTO4:FTO38 FJS4:FJS38 EZW4:EZW38 EQA4:EQA38 EGE4:EGE38 DWI4:DWI38 DMM4:DMM38 DCQ4:DCQ38 CSU4:CSU38 CIY4:CIY38 BZC4:BZC38 BPG4:BPG38 BFK4:BFK38 AVO4:AVO38 ALS4:ALS38 ABW4:ABW38 SA4:SA38" xr:uid="{00000000-0002-0000-0300-00000C000000}">
      <formula1>"Space,Rack,U space"</formula1>
      <formula2>0</formula2>
    </dataValidation>
    <dataValidation type="list" operator="equal" allowBlank="1" showInputMessage="1" showErrorMessage="1" sqref="IC4:IC38 WUO4:WUO38 WKS4:WKS38 WAW4:WAW38 VRA4:VRA38 VHE4:VHE38 UXI4:UXI38 UNM4:UNM38 UDQ4:UDQ38 TTU4:TTU38 TJY4:TJY38 TAC4:TAC38 SQG4:SQG38 SGK4:SGK38 RWO4:RWO38 RMS4:RMS38 RCW4:RCW38 QTA4:QTA38 QJE4:QJE38 PZI4:PZI38 PPM4:PPM38 PFQ4:PFQ38 OVU4:OVU38 OLY4:OLY38 OCC4:OCC38 NSG4:NSG38 NIK4:NIK38 MYO4:MYO38 MOS4:MOS38 MEW4:MEW38 LVA4:LVA38 LLE4:LLE38 LBI4:LBI38 KRM4:KRM38 KHQ4:KHQ38 JXU4:JXU38 JNY4:JNY38 JEC4:JEC38 IUG4:IUG38 IKK4:IKK38 IAO4:IAO38 HQS4:HQS38 HGW4:HGW38 GXA4:GXA38 GNE4:GNE38 GDI4:GDI38 FTM4:FTM38 FJQ4:FJQ38 EZU4:EZU38 EPY4:EPY38 EGC4:EGC38 DWG4:DWG38 DMK4:DMK38 DCO4:DCO38 CSS4:CSS38 CIW4:CIW38 BZA4:BZA38 BPE4:BPE38 BFI4:BFI38 AVM4:AVM38 ALQ4:ALQ38 ABU4:ABU38 RY4:RY38" xr:uid="{00000000-0002-0000-0300-00000D000000}">
      <formula1>"Rated,Subscribed"</formula1>
      <formula2>0</formula2>
    </dataValidation>
    <dataValidation type="list" operator="equal" allowBlank="1" showInputMessage="1" showErrorMessage="1" sqref="ID4:ID38 WUP4:WUP38 WKT4:WKT38 WAX4:WAX38 VRB4:VRB38 VHF4:VHF38 UXJ4:UXJ38 UNN4:UNN38 UDR4:UDR38 TTV4:TTV38 TJZ4:TJZ38 TAD4:TAD38 SQH4:SQH38 SGL4:SGL38 RWP4:RWP38 RMT4:RMT38 RCX4:RCX38 QTB4:QTB38 QJF4:QJF38 PZJ4:PZJ38 PPN4:PPN38 PFR4:PFR38 OVV4:OVV38 OLZ4:OLZ38 OCD4:OCD38 NSH4:NSH38 NIL4:NIL38 MYP4:MYP38 MOT4:MOT38 MEX4:MEX38 LVB4:LVB38 LLF4:LLF38 LBJ4:LBJ38 KRN4:KRN38 KHR4:KHR38 JXV4:JXV38 JNZ4:JNZ38 JED4:JED38 IUH4:IUH38 IKL4:IKL38 IAP4:IAP38 HQT4:HQT38 HGX4:HGX38 GXB4:GXB38 GNF4:GNF38 GDJ4:GDJ38 FTN4:FTN38 FJR4:FJR38 EZV4:EZV38 EPZ4:EPZ38 EGD4:EGD38 DWH4:DWH38 DML4:DML38 DCP4:DCP38 CST4:CST38 CIX4:CIX38 BZB4:BZB38 BPF4:BPF38 BFJ4:BFJ38 AVN4:AVN38 ALR4:ALR38 ABV4:ABV38 RZ4:RZ38" xr:uid="{00000000-0002-0000-0300-00000E000000}">
      <formula1>"Bundled,Metered"</formula1>
      <formula2>0</formula2>
    </dataValidation>
    <dataValidation type="list" operator="equal" allowBlank="1" showInputMessage="1" showErrorMessage="1" promptTitle="Rack, U Space, Cage" sqref="IF4:IF38 WUR4:WUR38 WKV4:WKV38 WAZ4:WAZ38 VRD4:VRD38 VHH4:VHH38 UXL4:UXL38 UNP4:UNP38 UDT4:UDT38 TTX4:TTX38 TKB4:TKB38 TAF4:TAF38 SQJ4:SQJ38 SGN4:SGN38 RWR4:RWR38 RMV4:RMV38 RCZ4:RCZ38 QTD4:QTD38 QJH4:QJH38 PZL4:PZL38 PPP4:PPP38 PFT4:PFT38 OVX4:OVX38 OMB4:OMB38 OCF4:OCF38 NSJ4:NSJ38 NIN4:NIN38 MYR4:MYR38 MOV4:MOV38 MEZ4:MEZ38 LVD4:LVD38 LLH4:LLH38 LBL4:LBL38 KRP4:KRP38 KHT4:KHT38 JXX4:JXX38 JOB4:JOB38 JEF4:JEF38 IUJ4:IUJ38 IKN4:IKN38 IAR4:IAR38 HQV4:HQV38 HGZ4:HGZ38 GXD4:GXD38 GNH4:GNH38 GDL4:GDL38 FTP4:FTP38 FJT4:FJT38 EZX4:EZX38 EQB4:EQB38 EGF4:EGF38 DWJ4:DWJ38 DMN4:DMN38 DCR4:DCR38 CSV4:CSV38 CIZ4:CIZ38 BZD4:BZD38 BPH4:BPH38 BFL4:BFL38 AVP4:AVP38 ALT4:ALT38 ABX4:ABX38 SB4:SB38" xr:uid="{00000000-0002-0000-0300-00000F000000}">
      <formula1>"Caged,Uncaged"</formula1>
      <formula2>0</formula2>
    </dataValidation>
  </dataValidations>
  <pageMargins left="0.78749999999999998" right="0.78749999999999998" top="1.0249999999999999" bottom="1.0249999999999999" header="0.78749999999999998" footer="0.78749999999999998"/>
  <pageSetup paperSize="9" orientation="portrait" horizontalDpi="300" verticalDpi="300"/>
  <headerFooter>
    <oddHeader>&amp;C&amp;"Arial,Regular"&amp;Kffffff&amp;A</oddHeader>
    <oddFooter>&amp;C&amp;"Arial,Regular"&amp;KffffffPage &amp;P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21"/>
  <sheetViews>
    <sheetView showGridLines="0" topLeftCell="A6" zoomScale="85" zoomScaleNormal="85" workbookViewId="0">
      <selection activeCell="C26" sqref="C26"/>
    </sheetView>
  </sheetViews>
  <sheetFormatPr defaultColWidth="20.109375" defaultRowHeight="12.75" customHeight="1" x14ac:dyDescent="0.3"/>
  <cols>
    <col min="1" max="1" width="20.109375" style="98"/>
    <col min="2" max="2" width="16.5546875" style="98" customWidth="1"/>
    <col min="3" max="3" width="47.5546875" style="98" customWidth="1"/>
    <col min="4" max="4" width="22.33203125" style="98" customWidth="1"/>
    <col min="5" max="5" width="25.6640625" style="98" customWidth="1"/>
    <col min="6" max="6" width="21.109375" style="98" customWidth="1"/>
    <col min="7" max="7" width="20" style="98" customWidth="1"/>
    <col min="8" max="8" width="18.109375" style="98" customWidth="1"/>
    <col min="9" max="9" width="9.33203125" style="98" customWidth="1"/>
    <col min="10" max="10" width="15.33203125" style="98" customWidth="1"/>
    <col min="11" max="11" width="10.109375" style="98" customWidth="1"/>
    <col min="12" max="12" width="18" style="99" customWidth="1"/>
    <col min="13" max="13" width="9.88671875" style="100" customWidth="1"/>
    <col min="14" max="14" width="23.5546875" style="100" customWidth="1"/>
    <col min="15" max="15" width="20" style="100" customWidth="1"/>
    <col min="16" max="16" width="20.44140625" style="100" customWidth="1"/>
    <col min="17" max="17" width="8.6640625" style="100" customWidth="1"/>
    <col min="18" max="18" width="24" style="101" customWidth="1"/>
    <col min="19" max="19" width="17.33203125" style="98" customWidth="1"/>
    <col min="20" max="20" width="21.44140625" style="99" customWidth="1"/>
    <col min="21" max="21" width="16.5546875" style="98" customWidth="1"/>
    <col min="22" max="22" width="23.6640625" style="98" customWidth="1"/>
    <col min="23" max="24" width="23.44140625" style="98" customWidth="1"/>
    <col min="25" max="25" width="14.88671875" style="98" customWidth="1"/>
    <col min="26" max="26" width="19.5546875" style="98" customWidth="1"/>
    <col min="27" max="27" width="20.6640625" style="98" customWidth="1"/>
    <col min="28" max="28" width="15" style="98" customWidth="1"/>
    <col min="29" max="29" width="10.44140625" style="98" customWidth="1"/>
    <col min="30" max="30" width="15.88671875" style="98" customWidth="1"/>
    <col min="31" max="31" width="20.44140625" style="98" customWidth="1"/>
    <col min="32" max="32" width="17.109375" style="102" customWidth="1"/>
    <col min="33" max="33" width="20.88671875" style="102" customWidth="1"/>
    <col min="34" max="34" width="9.109375" style="102" customWidth="1"/>
    <col min="35" max="35" width="15.33203125" style="98" customWidth="1"/>
    <col min="36" max="36" width="10.109375" style="98" customWidth="1"/>
    <col min="37" max="37" width="17.33203125" style="98" customWidth="1"/>
    <col min="38" max="38" width="9.88671875" style="98" customWidth="1"/>
    <col min="39" max="39" width="24.6640625" style="98" customWidth="1"/>
    <col min="40" max="40" width="15.109375" style="98" customWidth="1"/>
    <col min="41" max="41" width="21.5546875" style="98" customWidth="1"/>
    <col min="42" max="42" width="18.44140625" style="98" customWidth="1"/>
    <col min="43" max="43" width="20.44140625" style="98" customWidth="1"/>
    <col min="44" max="44" width="14" style="98" customWidth="1"/>
    <col min="45" max="45" width="15.88671875" style="98" customWidth="1"/>
    <col min="46" max="46" width="14.44140625" style="98" customWidth="1"/>
    <col min="47" max="47" width="17" style="98" customWidth="1"/>
    <col min="48" max="48" width="17.44140625" style="103" customWidth="1"/>
    <col min="49" max="49" width="18" style="103" customWidth="1"/>
    <col min="50" max="50" width="21.6640625" style="103" customWidth="1"/>
    <col min="51" max="51" width="18.6640625" style="103" customWidth="1"/>
    <col min="52" max="52" width="32.109375" style="98" customWidth="1"/>
    <col min="53" max="53" width="20.109375" style="98"/>
    <col min="54" max="54" width="26.44140625" style="98" customWidth="1"/>
    <col min="55" max="16150" width="20.109375" style="98"/>
    <col min="16151" max="16384" width="12.6640625" customWidth="1"/>
  </cols>
  <sheetData>
    <row r="1" spans="1:54 16151:16384" ht="13.8" x14ac:dyDescent="0.3">
      <c r="A1" s="136"/>
      <c r="B1" s="137"/>
      <c r="C1" s="137"/>
      <c r="D1" s="137"/>
      <c r="E1" s="137"/>
      <c r="F1" s="137"/>
      <c r="G1" s="138"/>
      <c r="H1" s="138"/>
      <c r="I1" s="138"/>
      <c r="J1" s="138"/>
      <c r="K1" s="137"/>
      <c r="L1" s="139"/>
      <c r="M1" s="140"/>
      <c r="N1" s="140"/>
      <c r="O1" s="140"/>
      <c r="P1" s="140"/>
      <c r="Q1" s="140"/>
      <c r="R1" s="140"/>
      <c r="S1" s="137"/>
      <c r="T1" s="141" t="s">
        <v>72</v>
      </c>
      <c r="U1" s="142"/>
      <c r="V1" s="142">
        <v>0.5</v>
      </c>
      <c r="W1" s="142" t="s">
        <v>73</v>
      </c>
      <c r="X1" s="142"/>
      <c r="Y1" s="142"/>
      <c r="Z1" s="143" t="e">
        <f>#REF!</f>
        <v>#REF!</v>
      </c>
      <c r="AA1" s="142"/>
      <c r="AB1" s="142" t="s">
        <v>74</v>
      </c>
      <c r="AC1" s="142" t="e">
        <f>#REF!</f>
        <v>#REF!</v>
      </c>
      <c r="AD1" s="142" t="s">
        <v>75</v>
      </c>
      <c r="AE1" s="144" t="e">
        <f>#REF!</f>
        <v>#REF!</v>
      </c>
      <c r="AF1" s="145" t="e">
        <f>+AC1*(AE1*(30.5*24-AH1)+AH1*20)</f>
        <v>#REF!</v>
      </c>
      <c r="AG1" s="145" t="s">
        <v>76</v>
      </c>
      <c r="AH1" s="145">
        <v>5</v>
      </c>
      <c r="AI1" s="142"/>
      <c r="AJ1" s="142"/>
      <c r="AK1" s="142"/>
      <c r="AL1" s="142"/>
      <c r="AM1" s="142"/>
      <c r="AN1" s="142"/>
      <c r="AO1" s="136"/>
      <c r="AP1" s="136"/>
      <c r="AQ1" s="136"/>
      <c r="AR1" s="136"/>
      <c r="AS1" s="136"/>
      <c r="AT1" s="136"/>
      <c r="AU1" s="136"/>
      <c r="AV1" s="136"/>
      <c r="AW1" s="136"/>
      <c r="AX1" s="136"/>
      <c r="AY1" s="136"/>
      <c r="AZ1" s="136"/>
      <c r="BA1" s="136"/>
      <c r="BB1" s="136"/>
    </row>
    <row r="2" spans="1:54 16151:16384" s="150" customFormat="1" ht="12" customHeight="1" x14ac:dyDescent="0.3">
      <c r="A2" s="146"/>
      <c r="B2" s="147"/>
      <c r="C2" s="147"/>
      <c r="D2" s="147"/>
      <c r="E2" s="270" t="s">
        <v>77</v>
      </c>
      <c r="F2" s="270"/>
      <c r="G2" s="271" t="s">
        <v>78</v>
      </c>
      <c r="H2" s="271"/>
      <c r="I2" s="271"/>
      <c r="J2" s="271"/>
      <c r="K2" s="271"/>
      <c r="L2" s="271"/>
      <c r="M2" s="271"/>
      <c r="N2" s="271"/>
      <c r="O2" s="271"/>
      <c r="P2" s="272" t="s">
        <v>79</v>
      </c>
      <c r="Q2" s="272"/>
      <c r="R2" s="272"/>
      <c r="S2" s="272"/>
      <c r="T2" s="272"/>
      <c r="U2" s="272"/>
      <c r="V2" s="272"/>
      <c r="W2" s="272"/>
      <c r="X2" s="272"/>
      <c r="Y2" s="272"/>
      <c r="Z2" s="272"/>
      <c r="AA2" s="272"/>
      <c r="AB2" s="272" t="s">
        <v>80</v>
      </c>
      <c r="AC2" s="272"/>
      <c r="AD2" s="272"/>
      <c r="AE2" s="272"/>
      <c r="AF2" s="272"/>
      <c r="AG2" s="272" t="s">
        <v>81</v>
      </c>
      <c r="AH2" s="272"/>
      <c r="AI2" s="272"/>
      <c r="AJ2" s="272"/>
      <c r="AK2" s="272"/>
      <c r="AL2" s="272"/>
      <c r="AM2" s="272"/>
      <c r="AN2" s="272"/>
      <c r="AO2" s="269" t="s">
        <v>82</v>
      </c>
      <c r="AP2" s="269"/>
      <c r="AQ2" s="269"/>
      <c r="AR2" s="269"/>
      <c r="AS2" s="269"/>
      <c r="AT2" s="269"/>
      <c r="AU2" s="269"/>
      <c r="AV2" s="269" t="s">
        <v>83</v>
      </c>
      <c r="AW2" s="269"/>
      <c r="AX2" s="269"/>
      <c r="AY2" s="269"/>
      <c r="AZ2" s="146"/>
      <c r="BA2" s="146"/>
      <c r="BB2" s="149"/>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54 16151:16384" s="150" customFormat="1" ht="27.6" x14ac:dyDescent="0.3">
      <c r="A3" s="146" t="s">
        <v>84</v>
      </c>
      <c r="B3" s="147" t="s">
        <v>85</v>
      </c>
      <c r="C3" s="147" t="s">
        <v>86</v>
      </c>
      <c r="D3" s="147" t="s">
        <v>87</v>
      </c>
      <c r="E3" s="148" t="s">
        <v>88</v>
      </c>
      <c r="F3" s="148" t="s">
        <v>89</v>
      </c>
      <c r="G3" s="148" t="s">
        <v>90</v>
      </c>
      <c r="H3" s="148" t="s">
        <v>91</v>
      </c>
      <c r="I3" s="151" t="s">
        <v>92</v>
      </c>
      <c r="J3" s="148" t="s">
        <v>93</v>
      </c>
      <c r="K3" s="147" t="s">
        <v>94</v>
      </c>
      <c r="L3" s="152" t="s">
        <v>95</v>
      </c>
      <c r="M3" s="148" t="s">
        <v>96</v>
      </c>
      <c r="N3" s="148" t="s">
        <v>97</v>
      </c>
      <c r="O3" s="148" t="s">
        <v>98</v>
      </c>
      <c r="P3" s="153" t="s">
        <v>99</v>
      </c>
      <c r="Q3" s="151" t="s">
        <v>92</v>
      </c>
      <c r="R3" s="151" t="s">
        <v>100</v>
      </c>
      <c r="S3" s="151" t="s">
        <v>101</v>
      </c>
      <c r="T3" s="154" t="s">
        <v>102</v>
      </c>
      <c r="U3" s="148" t="s">
        <v>103</v>
      </c>
      <c r="V3" s="151" t="s">
        <v>104</v>
      </c>
      <c r="W3" s="151" t="s">
        <v>105</v>
      </c>
      <c r="X3" s="151" t="s">
        <v>106</v>
      </c>
      <c r="Y3" s="151" t="s">
        <v>107</v>
      </c>
      <c r="Z3" s="151" t="s">
        <v>108</v>
      </c>
      <c r="AA3" s="151" t="s">
        <v>109</v>
      </c>
      <c r="AB3" s="151" t="s">
        <v>110</v>
      </c>
      <c r="AC3" s="146" t="s">
        <v>111</v>
      </c>
      <c r="AD3" s="155" t="s">
        <v>112</v>
      </c>
      <c r="AE3" s="155" t="s">
        <v>113</v>
      </c>
      <c r="AF3" s="155" t="s">
        <v>114</v>
      </c>
      <c r="AG3" s="155" t="s">
        <v>99</v>
      </c>
      <c r="AH3" s="155" t="s">
        <v>92</v>
      </c>
      <c r="AI3" s="155" t="s">
        <v>93</v>
      </c>
      <c r="AJ3" s="155" t="s">
        <v>94</v>
      </c>
      <c r="AK3" s="155" t="s">
        <v>115</v>
      </c>
      <c r="AL3" s="155" t="s">
        <v>96</v>
      </c>
      <c r="AM3" s="155" t="s">
        <v>103</v>
      </c>
      <c r="AN3" s="155" t="s">
        <v>116</v>
      </c>
      <c r="AO3" s="155" t="s">
        <v>117</v>
      </c>
      <c r="AP3" s="155" t="s">
        <v>118</v>
      </c>
      <c r="AQ3" s="155" t="s">
        <v>119</v>
      </c>
      <c r="AR3" s="155" t="s">
        <v>81</v>
      </c>
      <c r="AS3" s="155" t="s">
        <v>120</v>
      </c>
      <c r="AT3" s="155" t="s">
        <v>121</v>
      </c>
      <c r="AU3" s="155" t="s">
        <v>122</v>
      </c>
      <c r="AV3" s="155" t="s">
        <v>123</v>
      </c>
      <c r="AW3" s="155" t="s">
        <v>124</v>
      </c>
      <c r="AX3" s="155" t="s">
        <v>125</v>
      </c>
      <c r="AY3" s="155" t="s">
        <v>126</v>
      </c>
      <c r="AZ3" s="146" t="s">
        <v>127</v>
      </c>
      <c r="BA3" s="146" t="s">
        <v>128</v>
      </c>
      <c r="BB3" s="149"/>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c r="XFD3"/>
    </row>
    <row r="4" spans="1:54 16151:16384" s="150" customFormat="1" ht="14.4" x14ac:dyDescent="0.3">
      <c r="A4" s="156" t="s">
        <v>29</v>
      </c>
      <c r="B4" s="156" t="s">
        <v>149</v>
      </c>
      <c r="C4" s="157" t="s">
        <v>241</v>
      </c>
      <c r="D4" s="158" t="s">
        <v>144</v>
      </c>
      <c r="E4" s="159" t="s">
        <v>147</v>
      </c>
      <c r="F4" s="159" t="s">
        <v>148</v>
      </c>
      <c r="G4" s="159" t="s">
        <v>133</v>
      </c>
      <c r="H4" s="159" t="s">
        <v>134</v>
      </c>
      <c r="I4" s="160" t="str">
        <f t="shared" ref="I4:I17" si="0">IF(G4="Rack","No of Racks",(IF(G4="Space","Sq Ft","U Space")))</f>
        <v>No of Racks</v>
      </c>
      <c r="J4" s="159">
        <v>33</v>
      </c>
      <c r="K4" s="159">
        <v>33</v>
      </c>
      <c r="L4" s="161">
        <f t="shared" ref="L4:L17" si="1">J4-K4</f>
        <v>0</v>
      </c>
      <c r="M4" s="160">
        <f t="shared" ref="M4:M11" si="2">J4</f>
        <v>33</v>
      </c>
      <c r="N4" s="159">
        <v>0</v>
      </c>
      <c r="O4" s="159"/>
      <c r="P4" s="162"/>
      <c r="Q4" s="163"/>
      <c r="R4" s="163"/>
      <c r="S4" s="163"/>
      <c r="T4" s="164"/>
      <c r="U4" s="159"/>
      <c r="V4" s="163"/>
      <c r="W4" s="163"/>
      <c r="X4" s="163"/>
      <c r="Y4" s="163"/>
      <c r="Z4" s="163"/>
      <c r="AA4" s="163"/>
      <c r="AB4" s="163"/>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c r="XFD4"/>
    </row>
    <row r="5" spans="1:54 16151:16384" s="150" customFormat="1" ht="14.4" x14ac:dyDescent="0.3">
      <c r="A5" s="156" t="s">
        <v>29</v>
      </c>
      <c r="B5" s="156" t="s">
        <v>149</v>
      </c>
      <c r="C5" s="165" t="s">
        <v>242</v>
      </c>
      <c r="D5" s="158" t="s">
        <v>144</v>
      </c>
      <c r="E5" s="159" t="s">
        <v>147</v>
      </c>
      <c r="F5" s="159" t="s">
        <v>148</v>
      </c>
      <c r="G5" s="159" t="s">
        <v>133</v>
      </c>
      <c r="H5" s="159" t="s">
        <v>145</v>
      </c>
      <c r="I5" s="160" t="str">
        <f t="shared" si="0"/>
        <v>No of Racks</v>
      </c>
      <c r="J5" s="159">
        <v>2</v>
      </c>
      <c r="K5" s="159">
        <v>2</v>
      </c>
      <c r="L5" s="161">
        <f t="shared" si="1"/>
        <v>0</v>
      </c>
      <c r="M5" s="160">
        <f t="shared" si="2"/>
        <v>2</v>
      </c>
      <c r="N5" s="159">
        <v>0</v>
      </c>
      <c r="O5" s="159"/>
      <c r="P5" s="162"/>
      <c r="Q5" s="163"/>
      <c r="R5" s="163"/>
      <c r="S5" s="163"/>
      <c r="T5" s="164"/>
      <c r="U5" s="159"/>
      <c r="V5" s="163"/>
      <c r="W5" s="163"/>
      <c r="X5" s="163"/>
      <c r="Y5" s="163"/>
      <c r="Z5" s="163"/>
      <c r="AA5" s="163"/>
      <c r="AB5" s="163"/>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c r="XFD5"/>
    </row>
    <row r="6" spans="1:54 16151:16384" s="150" customFormat="1" ht="14.4" x14ac:dyDescent="0.3">
      <c r="A6" s="156" t="s">
        <v>29</v>
      </c>
      <c r="B6" s="156" t="s">
        <v>162</v>
      </c>
      <c r="C6" s="165" t="s">
        <v>243</v>
      </c>
      <c r="D6" s="158" t="s">
        <v>144</v>
      </c>
      <c r="E6" s="159" t="s">
        <v>147</v>
      </c>
      <c r="F6" s="159" t="s">
        <v>148</v>
      </c>
      <c r="G6" s="159" t="s">
        <v>133</v>
      </c>
      <c r="H6" s="159" t="s">
        <v>145</v>
      </c>
      <c r="I6" s="160" t="str">
        <f t="shared" si="0"/>
        <v>No of Racks</v>
      </c>
      <c r="J6" s="159">
        <v>1</v>
      </c>
      <c r="K6" s="159">
        <v>1</v>
      </c>
      <c r="L6" s="161">
        <f t="shared" si="1"/>
        <v>0</v>
      </c>
      <c r="M6" s="160">
        <f t="shared" si="2"/>
        <v>1</v>
      </c>
      <c r="N6" s="159">
        <v>0</v>
      </c>
      <c r="O6" s="159"/>
      <c r="P6" s="162"/>
      <c r="Q6" s="163"/>
      <c r="R6" s="163"/>
      <c r="S6" s="163"/>
      <c r="T6" s="164"/>
      <c r="U6" s="159"/>
      <c r="V6" s="163"/>
      <c r="W6" s="163"/>
      <c r="X6" s="163"/>
      <c r="Y6" s="163"/>
      <c r="Z6" s="163"/>
      <c r="AA6" s="163"/>
      <c r="AB6" s="163"/>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c r="XFD6"/>
    </row>
    <row r="7" spans="1:54 16151:16384" s="150" customFormat="1" ht="14.4" x14ac:dyDescent="0.3">
      <c r="A7" s="156" t="s">
        <v>29</v>
      </c>
      <c r="B7" s="156" t="s">
        <v>141</v>
      </c>
      <c r="C7" s="166" t="s">
        <v>244</v>
      </c>
      <c r="D7" s="158" t="s">
        <v>144</v>
      </c>
      <c r="E7" s="159" t="s">
        <v>147</v>
      </c>
      <c r="F7" s="159" t="s">
        <v>148</v>
      </c>
      <c r="G7" s="159" t="s">
        <v>133</v>
      </c>
      <c r="H7" s="159" t="s">
        <v>145</v>
      </c>
      <c r="I7" s="160" t="str">
        <f t="shared" si="0"/>
        <v>No of Racks</v>
      </c>
      <c r="J7" s="159">
        <v>3</v>
      </c>
      <c r="K7" s="159">
        <v>3</v>
      </c>
      <c r="L7" s="161">
        <f t="shared" si="1"/>
        <v>0</v>
      </c>
      <c r="M7" s="160">
        <f t="shared" si="2"/>
        <v>3</v>
      </c>
      <c r="N7" s="159">
        <v>0</v>
      </c>
      <c r="O7" s="159"/>
      <c r="P7" s="162"/>
      <c r="Q7" s="163"/>
      <c r="R7" s="163"/>
      <c r="S7" s="163"/>
      <c r="T7" s="164"/>
      <c r="U7" s="159"/>
      <c r="V7" s="163"/>
      <c r="W7" s="163"/>
      <c r="X7" s="163"/>
      <c r="Y7" s="163"/>
      <c r="Z7" s="163"/>
      <c r="AA7" s="163"/>
      <c r="AB7" s="163"/>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c r="XFD7"/>
    </row>
    <row r="8" spans="1:54 16151:16384" s="150" customFormat="1" ht="14.4" x14ac:dyDescent="0.3">
      <c r="A8" s="156" t="s">
        <v>29</v>
      </c>
      <c r="B8" s="156" t="s">
        <v>162</v>
      </c>
      <c r="C8" s="165" t="s">
        <v>245</v>
      </c>
      <c r="D8" s="158" t="s">
        <v>144</v>
      </c>
      <c r="E8" s="159" t="s">
        <v>147</v>
      </c>
      <c r="F8" s="159" t="s">
        <v>148</v>
      </c>
      <c r="G8" s="159" t="s">
        <v>133</v>
      </c>
      <c r="H8" s="159" t="s">
        <v>145</v>
      </c>
      <c r="I8" s="160" t="str">
        <f t="shared" si="0"/>
        <v>No of Racks</v>
      </c>
      <c r="J8" s="159">
        <v>1</v>
      </c>
      <c r="K8" s="159">
        <v>1</v>
      </c>
      <c r="L8" s="161">
        <f t="shared" si="1"/>
        <v>0</v>
      </c>
      <c r="M8" s="160">
        <f t="shared" si="2"/>
        <v>1</v>
      </c>
      <c r="N8" s="159">
        <v>0</v>
      </c>
      <c r="O8" s="159"/>
      <c r="P8" s="162"/>
      <c r="Q8" s="163"/>
      <c r="R8" s="163"/>
      <c r="S8" s="163"/>
      <c r="T8" s="164"/>
      <c r="U8" s="159"/>
      <c r="V8" s="163"/>
      <c r="W8" s="163"/>
      <c r="X8" s="163"/>
      <c r="Y8" s="163"/>
      <c r="Z8" s="163"/>
      <c r="AA8" s="163"/>
      <c r="AB8" s="163"/>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WWE8"/>
      <c r="WWF8"/>
      <c r="WWG8"/>
      <c r="WWH8"/>
      <c r="WWI8"/>
      <c r="WWJ8"/>
      <c r="WWK8"/>
      <c r="WWL8"/>
      <c r="WWM8"/>
      <c r="WWN8"/>
      <c r="WWO8"/>
      <c r="WWP8"/>
      <c r="WWQ8"/>
      <c r="WWR8"/>
      <c r="WWS8"/>
      <c r="WWT8"/>
      <c r="WWU8"/>
      <c r="WWV8"/>
      <c r="WWW8"/>
      <c r="WWX8"/>
      <c r="WWY8"/>
      <c r="WWZ8"/>
      <c r="WXA8"/>
      <c r="WXB8"/>
      <c r="WXC8"/>
      <c r="WXD8"/>
      <c r="WXE8"/>
      <c r="WXF8"/>
      <c r="WXG8"/>
      <c r="WXH8"/>
      <c r="WXI8"/>
      <c r="WXJ8"/>
      <c r="WXK8"/>
      <c r="WXL8"/>
      <c r="WXM8"/>
      <c r="WXN8"/>
      <c r="WXO8"/>
      <c r="WXP8"/>
      <c r="WXQ8"/>
      <c r="WXR8"/>
      <c r="WXS8"/>
      <c r="WXT8"/>
      <c r="WXU8"/>
      <c r="WXV8"/>
      <c r="WXW8"/>
      <c r="WXX8"/>
      <c r="WXY8"/>
      <c r="WXZ8"/>
      <c r="WYA8"/>
      <c r="WYB8"/>
      <c r="WYC8"/>
      <c r="WYD8"/>
      <c r="WYE8"/>
      <c r="WYF8"/>
      <c r="WYG8"/>
      <c r="WYH8"/>
      <c r="WYI8"/>
      <c r="WYJ8"/>
      <c r="WYK8"/>
      <c r="WYL8"/>
      <c r="WYM8"/>
      <c r="WYN8"/>
      <c r="WYO8"/>
      <c r="WYP8"/>
      <c r="WYQ8"/>
      <c r="WYR8"/>
      <c r="WYS8"/>
      <c r="WYT8"/>
      <c r="WYU8"/>
      <c r="WYV8"/>
      <c r="WYW8"/>
      <c r="WYX8"/>
      <c r="WYY8"/>
      <c r="WYZ8"/>
      <c r="WZA8"/>
      <c r="WZB8"/>
      <c r="WZC8"/>
      <c r="WZD8"/>
      <c r="WZE8"/>
      <c r="WZF8"/>
      <c r="WZG8"/>
      <c r="WZH8"/>
      <c r="WZI8"/>
      <c r="WZJ8"/>
      <c r="WZK8"/>
      <c r="WZL8"/>
      <c r="WZM8"/>
      <c r="WZN8"/>
      <c r="WZO8"/>
      <c r="WZP8"/>
      <c r="WZQ8"/>
      <c r="WZR8"/>
      <c r="WZS8"/>
      <c r="WZT8"/>
      <c r="WZU8"/>
      <c r="WZV8"/>
      <c r="WZW8"/>
      <c r="WZX8"/>
      <c r="WZY8"/>
      <c r="WZZ8"/>
      <c r="XAA8"/>
      <c r="XAB8"/>
      <c r="XAC8"/>
      <c r="XAD8"/>
      <c r="XAE8"/>
      <c r="XAF8"/>
      <c r="XAG8"/>
      <c r="XAH8"/>
      <c r="XAI8"/>
      <c r="XAJ8"/>
      <c r="XAK8"/>
      <c r="XAL8"/>
      <c r="XAM8"/>
      <c r="XAN8"/>
      <c r="XAO8"/>
      <c r="XAP8"/>
      <c r="XAQ8"/>
      <c r="XAR8"/>
      <c r="XAS8"/>
      <c r="XAT8"/>
      <c r="XAU8"/>
      <c r="XAV8"/>
      <c r="XAW8"/>
      <c r="XAX8"/>
      <c r="XAY8"/>
      <c r="XAZ8"/>
      <c r="XBA8"/>
      <c r="XBB8"/>
      <c r="XBC8"/>
      <c r="XBD8"/>
      <c r="XBE8"/>
      <c r="XBF8"/>
      <c r="XBG8"/>
      <c r="XBH8"/>
      <c r="XBI8"/>
      <c r="XBJ8"/>
      <c r="XBK8"/>
      <c r="XBL8"/>
      <c r="XBM8"/>
      <c r="XBN8"/>
      <c r="XBO8"/>
      <c r="XBP8"/>
      <c r="XBQ8"/>
      <c r="XBR8"/>
      <c r="XBS8"/>
      <c r="XBT8"/>
      <c r="XBU8"/>
      <c r="XBV8"/>
      <c r="XBW8"/>
      <c r="XBX8"/>
      <c r="XBY8"/>
      <c r="XBZ8"/>
      <c r="XCA8"/>
      <c r="XCB8"/>
      <c r="XCC8"/>
      <c r="XCD8"/>
      <c r="XCE8"/>
      <c r="XCF8"/>
      <c r="XCG8"/>
      <c r="XCH8"/>
      <c r="XCI8"/>
      <c r="XCJ8"/>
      <c r="XCK8"/>
      <c r="XCL8"/>
      <c r="XCM8"/>
      <c r="XCN8"/>
      <c r="XCO8"/>
      <c r="XCP8"/>
      <c r="XCQ8"/>
      <c r="XCR8"/>
      <c r="XCS8"/>
      <c r="XCT8"/>
      <c r="XCU8"/>
      <c r="XCV8"/>
      <c r="XCW8"/>
      <c r="XCX8"/>
      <c r="XCY8"/>
      <c r="XCZ8"/>
      <c r="XDA8"/>
      <c r="XDB8"/>
      <c r="XDC8"/>
      <c r="XDD8"/>
      <c r="XDE8"/>
      <c r="XDF8"/>
      <c r="XDG8"/>
      <c r="XDH8"/>
      <c r="XDI8"/>
      <c r="XDJ8"/>
      <c r="XDK8"/>
      <c r="XDL8"/>
      <c r="XDM8"/>
      <c r="XDN8"/>
      <c r="XDO8"/>
      <c r="XDP8"/>
      <c r="XDQ8"/>
      <c r="XDR8"/>
      <c r="XDS8"/>
      <c r="XDT8"/>
      <c r="XDU8"/>
      <c r="XDV8"/>
      <c r="XDW8"/>
      <c r="XDX8"/>
      <c r="XDY8"/>
      <c r="XDZ8"/>
      <c r="XEA8"/>
      <c r="XEB8"/>
      <c r="XEC8"/>
      <c r="XED8"/>
      <c r="XEE8"/>
      <c r="XEF8"/>
      <c r="XEG8"/>
      <c r="XEH8"/>
      <c r="XEI8"/>
      <c r="XEJ8"/>
      <c r="XEK8"/>
      <c r="XEL8"/>
      <c r="XEM8"/>
      <c r="XEN8"/>
      <c r="XEO8"/>
      <c r="XEP8"/>
      <c r="XEQ8"/>
      <c r="XER8"/>
      <c r="XES8"/>
      <c r="XET8"/>
      <c r="XEU8"/>
      <c r="XEV8"/>
      <c r="XEW8"/>
      <c r="XEX8"/>
      <c r="XEY8"/>
      <c r="XEZ8"/>
      <c r="XFA8"/>
      <c r="XFB8"/>
      <c r="XFC8"/>
      <c r="XFD8"/>
    </row>
    <row r="9" spans="1:54 16151:16384" s="150" customFormat="1" ht="14.4" x14ac:dyDescent="0.3">
      <c r="A9" s="156" t="s">
        <v>29</v>
      </c>
      <c r="B9" s="156" t="s">
        <v>149</v>
      </c>
      <c r="C9" s="167" t="s">
        <v>246</v>
      </c>
      <c r="D9" s="158" t="s">
        <v>144</v>
      </c>
      <c r="E9" s="159" t="s">
        <v>131</v>
      </c>
      <c r="F9" s="159" t="s">
        <v>132</v>
      </c>
      <c r="G9" s="159" t="s">
        <v>133</v>
      </c>
      <c r="H9" s="159" t="s">
        <v>145</v>
      </c>
      <c r="I9" s="160" t="str">
        <f t="shared" si="0"/>
        <v>No of Racks</v>
      </c>
      <c r="J9" s="159">
        <v>2</v>
      </c>
      <c r="K9" s="159">
        <v>2</v>
      </c>
      <c r="L9" s="161">
        <f t="shared" si="1"/>
        <v>0</v>
      </c>
      <c r="M9" s="160">
        <f t="shared" si="2"/>
        <v>2</v>
      </c>
      <c r="N9" s="159">
        <v>0</v>
      </c>
      <c r="O9" s="159"/>
      <c r="P9" s="162"/>
      <c r="Q9" s="163"/>
      <c r="R9" s="163"/>
      <c r="S9" s="163"/>
      <c r="T9" s="164"/>
      <c r="U9" s="159"/>
      <c r="V9" s="163"/>
      <c r="W9" s="163"/>
      <c r="X9" s="163"/>
      <c r="Y9" s="163"/>
      <c r="Z9" s="163"/>
      <c r="AA9" s="163"/>
      <c r="AB9" s="163"/>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c r="XER9"/>
      <c r="XES9"/>
      <c r="XET9"/>
      <c r="XEU9"/>
      <c r="XEV9"/>
      <c r="XEW9"/>
      <c r="XEX9"/>
      <c r="XEY9"/>
      <c r="XEZ9"/>
      <c r="XFA9"/>
      <c r="XFB9"/>
      <c r="XFC9"/>
      <c r="XFD9"/>
    </row>
    <row r="10" spans="1:54 16151:16384" s="150" customFormat="1" ht="14.4" x14ac:dyDescent="0.3">
      <c r="A10" s="156" t="s">
        <v>29</v>
      </c>
      <c r="B10" s="156" t="s">
        <v>162</v>
      </c>
      <c r="C10" s="167" t="s">
        <v>247</v>
      </c>
      <c r="D10" s="158" t="s">
        <v>144</v>
      </c>
      <c r="E10" s="159" t="s">
        <v>131</v>
      </c>
      <c r="F10" s="159" t="s">
        <v>132</v>
      </c>
      <c r="G10" s="159" t="s">
        <v>133</v>
      </c>
      <c r="H10" s="159" t="s">
        <v>134</v>
      </c>
      <c r="I10" s="160" t="str">
        <f t="shared" si="0"/>
        <v>No of Racks</v>
      </c>
      <c r="J10" s="159">
        <v>5</v>
      </c>
      <c r="K10" s="159">
        <v>5</v>
      </c>
      <c r="L10" s="161">
        <f t="shared" si="1"/>
        <v>0</v>
      </c>
      <c r="M10" s="160">
        <f t="shared" si="2"/>
        <v>5</v>
      </c>
      <c r="N10" s="159">
        <v>0</v>
      </c>
      <c r="O10" s="159"/>
      <c r="P10" s="162"/>
      <c r="Q10" s="163"/>
      <c r="R10" s="163"/>
      <c r="S10" s="163"/>
      <c r="T10" s="164"/>
      <c r="U10" s="159"/>
      <c r="V10" s="163"/>
      <c r="W10" s="163"/>
      <c r="X10" s="163"/>
      <c r="Y10" s="163"/>
      <c r="Z10" s="163"/>
      <c r="AA10" s="163"/>
      <c r="AB10" s="163"/>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c r="XER10"/>
      <c r="XES10"/>
      <c r="XET10"/>
      <c r="XEU10"/>
      <c r="XEV10"/>
      <c r="XEW10"/>
      <c r="XEX10"/>
      <c r="XEY10"/>
      <c r="XEZ10"/>
      <c r="XFA10"/>
      <c r="XFB10"/>
      <c r="XFC10"/>
      <c r="XFD10"/>
    </row>
    <row r="11" spans="1:54 16151:16384" s="150" customFormat="1" ht="14.4" x14ac:dyDescent="0.3">
      <c r="A11" s="156" t="s">
        <v>29</v>
      </c>
      <c r="B11" s="156" t="s">
        <v>141</v>
      </c>
      <c r="C11" s="168" t="s">
        <v>248</v>
      </c>
      <c r="D11" s="169" t="s">
        <v>130</v>
      </c>
      <c r="E11" s="170" t="s">
        <v>131</v>
      </c>
      <c r="F11" s="171" t="s">
        <v>132</v>
      </c>
      <c r="G11" s="170" t="s">
        <v>133</v>
      </c>
      <c r="H11" s="170" t="s">
        <v>134</v>
      </c>
      <c r="I11" s="160" t="str">
        <f t="shared" si="0"/>
        <v>No of Racks</v>
      </c>
      <c r="J11" s="172">
        <v>19</v>
      </c>
      <c r="K11" s="172">
        <v>19</v>
      </c>
      <c r="L11" s="161">
        <f t="shared" si="1"/>
        <v>0</v>
      </c>
      <c r="M11" s="160">
        <f t="shared" si="2"/>
        <v>19</v>
      </c>
      <c r="N11" s="160">
        <f t="shared" ref="N11:N17" si="3">J11-M11</f>
        <v>0</v>
      </c>
      <c r="O11" s="173">
        <f>6303333/12/19</f>
        <v>27646.197368421053</v>
      </c>
      <c r="P11" s="174" t="str">
        <f>E11</f>
        <v>Subscribed</v>
      </c>
      <c r="Q11" s="170" t="s">
        <v>6</v>
      </c>
      <c r="R11" s="175">
        <v>58</v>
      </c>
      <c r="S11" s="176">
        <v>27.35</v>
      </c>
      <c r="T11" s="177">
        <f t="shared" ref="T11:T17" si="4">R11-S11</f>
        <v>30.65</v>
      </c>
      <c r="U11" s="160">
        <v>0</v>
      </c>
      <c r="V11" s="176">
        <f>IF(T11&lt;=0,0,(IF(P11="Rated",(T11+U11)*$V$1,(T11+U11))))</f>
        <v>30.65</v>
      </c>
      <c r="W11" s="176">
        <f>IF(P11="Rated",R11*$V$1,R11)</f>
        <v>58</v>
      </c>
      <c r="X11" s="176">
        <f t="shared" ref="X11:X17" si="5">S11</f>
        <v>27.35</v>
      </c>
      <c r="Y11" s="176">
        <f t="shared" ref="Y11:Y17" si="6">S11</f>
        <v>27.35</v>
      </c>
      <c r="Z11" s="176">
        <f t="shared" ref="Z11:Z17" si="7">T11*-1</f>
        <v>-30.65</v>
      </c>
      <c r="AA11" s="178"/>
      <c r="AB11" s="163" t="s">
        <v>132</v>
      </c>
      <c r="AC11" s="160">
        <v>1</v>
      </c>
      <c r="AD11" s="176" t="s">
        <v>140</v>
      </c>
      <c r="AE11" s="160">
        <v>15</v>
      </c>
      <c r="AF11" s="160">
        <v>37695.300000000003</v>
      </c>
      <c r="AG11" s="179" t="s">
        <v>137</v>
      </c>
      <c r="AH11" s="160" t="s">
        <v>138</v>
      </c>
      <c r="AI11" s="160">
        <v>6</v>
      </c>
      <c r="AJ11" s="160">
        <v>6</v>
      </c>
      <c r="AK11" s="160">
        <v>0</v>
      </c>
      <c r="AL11" s="160">
        <f t="shared" ref="AL11:AL17" si="8">AI11</f>
        <v>6</v>
      </c>
      <c r="AM11" s="160">
        <v>0</v>
      </c>
      <c r="AN11" s="173">
        <f>(100000/12)</f>
        <v>8333.3333333333339</v>
      </c>
      <c r="AO11" s="180">
        <f>O11*M11</f>
        <v>525277.75</v>
      </c>
      <c r="AP11" s="178"/>
      <c r="AQ11" s="178">
        <f>AF11*AE11*AC11</f>
        <v>565429.5</v>
      </c>
      <c r="AR11" s="178">
        <f>AN11*AL11</f>
        <v>50000</v>
      </c>
      <c r="AS11" s="173"/>
      <c r="AT11" s="178">
        <f>SUBTOTAL(9,AO11:AS11)</f>
        <v>1140707.25</v>
      </c>
      <c r="AU11" s="178"/>
      <c r="AV11" s="181"/>
      <c r="AW11" s="182"/>
      <c r="AX11" s="160"/>
      <c r="AY11" s="182"/>
      <c r="AZ11" s="160"/>
      <c r="BA11" s="160"/>
      <c r="BB11" s="160" t="s">
        <v>249</v>
      </c>
    </row>
    <row r="12" spans="1:54 16151:16384" s="150" customFormat="1" ht="14.4" x14ac:dyDescent="0.3">
      <c r="A12" s="183" t="s">
        <v>29</v>
      </c>
      <c r="B12" s="183" t="s">
        <v>162</v>
      </c>
      <c r="C12" s="184" t="s">
        <v>250</v>
      </c>
      <c r="D12" s="170" t="s">
        <v>171</v>
      </c>
      <c r="E12" s="170" t="s">
        <v>147</v>
      </c>
      <c r="F12" s="171" t="s">
        <v>148</v>
      </c>
      <c r="G12" s="185" t="s">
        <v>166</v>
      </c>
      <c r="H12" s="170" t="s">
        <v>145</v>
      </c>
      <c r="I12" s="160" t="str">
        <f t="shared" si="0"/>
        <v>U Space</v>
      </c>
      <c r="J12" s="185">
        <v>2</v>
      </c>
      <c r="K12" s="185">
        <v>5</v>
      </c>
      <c r="L12" s="161">
        <f t="shared" si="1"/>
        <v>-3</v>
      </c>
      <c r="M12" s="185">
        <v>4</v>
      </c>
      <c r="N12" s="160">
        <f t="shared" si="3"/>
        <v>-2</v>
      </c>
      <c r="O12" s="186">
        <f>(39750+39750/4)/12</f>
        <v>4140.625</v>
      </c>
      <c r="P12" s="174" t="s">
        <v>147</v>
      </c>
      <c r="Q12" s="170" t="s">
        <v>6</v>
      </c>
      <c r="R12" s="185">
        <v>0.5</v>
      </c>
      <c r="S12" s="187">
        <v>0.186</v>
      </c>
      <c r="T12" s="177">
        <f t="shared" si="4"/>
        <v>0.314</v>
      </c>
      <c r="U12" s="176">
        <v>0</v>
      </c>
      <c r="V12" s="176">
        <f>IF(T12&lt;=0,0,(IF(P12="Rated",(T12+U12)*'[1]Customer details'!$V$1,(T12+U12))))</f>
        <v>0</v>
      </c>
      <c r="W12" s="176">
        <f>IF(P12="Rated",R12*'[1]Customer details'!$V$1,R12)</f>
        <v>0</v>
      </c>
      <c r="X12" s="176">
        <f t="shared" si="5"/>
        <v>0.186</v>
      </c>
      <c r="Y12" s="176">
        <f t="shared" si="6"/>
        <v>0.186</v>
      </c>
      <c r="Z12" s="176">
        <f t="shared" si="7"/>
        <v>-0.314</v>
      </c>
      <c r="AA12" s="160"/>
      <c r="AB12" s="163" t="s">
        <v>147</v>
      </c>
      <c r="AC12" s="176">
        <v>1.8</v>
      </c>
      <c r="AD12" s="160"/>
      <c r="AE12" s="160"/>
      <c r="AF12" s="188"/>
      <c r="AG12" s="179" t="s">
        <v>137</v>
      </c>
      <c r="AH12" s="160" t="s">
        <v>138</v>
      </c>
      <c r="AI12" s="160">
        <v>0</v>
      </c>
      <c r="AJ12" s="160">
        <v>0</v>
      </c>
      <c r="AK12" s="160">
        <v>0</v>
      </c>
      <c r="AL12" s="160">
        <f t="shared" si="8"/>
        <v>0</v>
      </c>
      <c r="AM12" s="160">
        <v>0</v>
      </c>
      <c r="AN12" s="160"/>
      <c r="AO12" s="160"/>
      <c r="AP12" s="160"/>
      <c r="AQ12" s="160"/>
      <c r="AR12" s="160"/>
      <c r="AS12" s="160"/>
      <c r="AT12" s="160"/>
      <c r="AU12" s="160"/>
      <c r="AV12" s="160"/>
      <c r="AW12" s="160"/>
      <c r="AX12" s="160"/>
      <c r="AY12" s="160"/>
      <c r="AZ12" s="160"/>
      <c r="BA12" s="160"/>
      <c r="BB12" s="160"/>
    </row>
    <row r="13" spans="1:54 16151:16384" s="150" customFormat="1" ht="14.4" x14ac:dyDescent="0.3">
      <c r="A13" s="183" t="s">
        <v>29</v>
      </c>
      <c r="B13" s="183" t="s">
        <v>162</v>
      </c>
      <c r="C13" s="184" t="s">
        <v>251</v>
      </c>
      <c r="D13" s="170" t="s">
        <v>171</v>
      </c>
      <c r="E13" s="170" t="s">
        <v>147</v>
      </c>
      <c r="F13" s="171" t="s">
        <v>148</v>
      </c>
      <c r="G13" s="185" t="s">
        <v>133</v>
      </c>
      <c r="H13" s="170" t="s">
        <v>145</v>
      </c>
      <c r="I13" s="160" t="str">
        <f t="shared" si="0"/>
        <v>No of Racks</v>
      </c>
      <c r="J13" s="185">
        <v>4</v>
      </c>
      <c r="K13" s="185">
        <v>4</v>
      </c>
      <c r="L13" s="161">
        <f t="shared" si="1"/>
        <v>0</v>
      </c>
      <c r="M13" s="185">
        <v>4</v>
      </c>
      <c r="N13" s="160">
        <f t="shared" si="3"/>
        <v>0</v>
      </c>
      <c r="O13" s="176"/>
      <c r="P13" s="174" t="s">
        <v>147</v>
      </c>
      <c r="Q13" s="170" t="s">
        <v>6</v>
      </c>
      <c r="R13" s="189">
        <v>29</v>
      </c>
      <c r="S13" s="187">
        <v>28.96</v>
      </c>
      <c r="T13" s="177">
        <f t="shared" si="4"/>
        <v>3.9999999999999147E-2</v>
      </c>
      <c r="U13" s="176">
        <v>0</v>
      </c>
      <c r="V13" s="176">
        <f>IF(T13&lt;=0,0,(IF(P13="Rated",(T13+U13)*'[1]Customer details'!$V$1,(T13+U13))))</f>
        <v>0</v>
      </c>
      <c r="W13" s="176">
        <f>IF(P13="Rated",R13*'[1]Customer details'!$V$1,R13)</f>
        <v>0</v>
      </c>
      <c r="X13" s="176">
        <f t="shared" si="5"/>
        <v>28.96</v>
      </c>
      <c r="Y13" s="176">
        <f t="shared" si="6"/>
        <v>28.96</v>
      </c>
      <c r="Z13" s="176">
        <f t="shared" si="7"/>
        <v>-3.9999999999999147E-2</v>
      </c>
      <c r="AA13" s="160"/>
      <c r="AB13" s="163" t="s">
        <v>147</v>
      </c>
      <c r="AC13" s="176">
        <v>1.8</v>
      </c>
      <c r="AD13" s="160"/>
      <c r="AE13" s="160"/>
      <c r="AF13" s="188"/>
      <c r="AG13" s="179" t="s">
        <v>137</v>
      </c>
      <c r="AH13" s="160" t="s">
        <v>138</v>
      </c>
      <c r="AI13" s="160">
        <v>1</v>
      </c>
      <c r="AJ13" s="160">
        <v>1</v>
      </c>
      <c r="AK13" s="160">
        <v>0</v>
      </c>
      <c r="AL13" s="160">
        <f t="shared" si="8"/>
        <v>1</v>
      </c>
      <c r="AM13" s="160">
        <v>0</v>
      </c>
      <c r="AN13" s="160"/>
      <c r="AO13" s="160"/>
      <c r="AP13" s="160"/>
      <c r="AQ13" s="160"/>
      <c r="AR13" s="160"/>
      <c r="AS13" s="160"/>
      <c r="AT13" s="160"/>
      <c r="AU13" s="160"/>
      <c r="AV13" s="160"/>
      <c r="AW13" s="160"/>
      <c r="AX13" s="160"/>
      <c r="AY13" s="160"/>
      <c r="AZ13" s="160"/>
      <c r="BA13" s="160"/>
      <c r="BB13" s="160"/>
    </row>
    <row r="14" spans="1:54 16151:16384" s="150" customFormat="1" ht="14.4" x14ac:dyDescent="0.3">
      <c r="A14" s="156" t="s">
        <v>29</v>
      </c>
      <c r="B14" s="156" t="s">
        <v>162</v>
      </c>
      <c r="C14" s="165" t="s">
        <v>252</v>
      </c>
      <c r="D14" s="160" t="s">
        <v>144</v>
      </c>
      <c r="E14" s="170" t="s">
        <v>131</v>
      </c>
      <c r="F14" s="171" t="s">
        <v>132</v>
      </c>
      <c r="G14" s="170" t="s">
        <v>133</v>
      </c>
      <c r="H14" s="170" t="s">
        <v>145</v>
      </c>
      <c r="I14" s="160" t="str">
        <f t="shared" si="0"/>
        <v>No of Racks</v>
      </c>
      <c r="J14" s="183">
        <v>10</v>
      </c>
      <c r="K14" s="183">
        <v>10</v>
      </c>
      <c r="L14" s="161">
        <f t="shared" si="1"/>
        <v>0</v>
      </c>
      <c r="M14" s="160">
        <f t="shared" ref="M14:M21" si="9">J14</f>
        <v>10</v>
      </c>
      <c r="N14" s="160">
        <f t="shared" si="3"/>
        <v>0</v>
      </c>
      <c r="O14" s="173"/>
      <c r="P14" s="174" t="str">
        <f t="shared" ref="P14:P21" si="10">E14</f>
        <v>Subscribed</v>
      </c>
      <c r="Q14" s="170" t="s">
        <v>160</v>
      </c>
      <c r="R14" s="190">
        <v>30</v>
      </c>
      <c r="S14" s="176">
        <v>17.350000000000001</v>
      </c>
      <c r="T14" s="177">
        <f t="shared" si="4"/>
        <v>12.649999999999999</v>
      </c>
      <c r="U14" s="176">
        <v>0</v>
      </c>
      <c r="V14" s="176">
        <f>IF(T14&lt;=0,0,(IF(P14="Rated",(T14+U14)*$V$1,(T14+U14))))</f>
        <v>12.649999999999999</v>
      </c>
      <c r="W14" s="176">
        <f>IF(P14="Rated",R14*$V$1,R14)</f>
        <v>30</v>
      </c>
      <c r="X14" s="176">
        <f t="shared" si="5"/>
        <v>17.350000000000001</v>
      </c>
      <c r="Y14" s="176">
        <f t="shared" si="6"/>
        <v>17.350000000000001</v>
      </c>
      <c r="Z14" s="176">
        <f t="shared" si="7"/>
        <v>-12.649999999999999</v>
      </c>
      <c r="AA14" s="178"/>
      <c r="AB14" s="163" t="s">
        <v>132</v>
      </c>
      <c r="AC14" s="176">
        <v>1.8</v>
      </c>
      <c r="AD14" s="176"/>
      <c r="AE14" s="176"/>
      <c r="AF14" s="191">
        <v>0</v>
      </c>
      <c r="AG14" s="179" t="s">
        <v>137</v>
      </c>
      <c r="AH14" s="160" t="s">
        <v>138</v>
      </c>
      <c r="AI14" s="176">
        <v>0</v>
      </c>
      <c r="AJ14" s="176">
        <v>0</v>
      </c>
      <c r="AK14" s="160">
        <f t="shared" ref="AK14:AK21" si="11">AI14-AJ14</f>
        <v>0</v>
      </c>
      <c r="AL14" s="176">
        <f t="shared" si="8"/>
        <v>0</v>
      </c>
      <c r="AM14" s="176">
        <v>0</v>
      </c>
      <c r="AN14" s="192"/>
      <c r="AO14" s="180">
        <f>O14*M14</f>
        <v>0</v>
      </c>
      <c r="AP14" s="178"/>
      <c r="AQ14" s="178">
        <f>AF14*AE14*AC14</f>
        <v>0</v>
      </c>
      <c r="AR14" s="178">
        <f>AN14*AL14</f>
        <v>0</v>
      </c>
      <c r="AS14" s="178"/>
      <c r="AT14" s="178">
        <f>SUBTOTAL(9,AO14:AS14)</f>
        <v>0</v>
      </c>
      <c r="AU14" s="178"/>
      <c r="AV14" s="181"/>
      <c r="AW14" s="182"/>
      <c r="AX14" s="160"/>
      <c r="AY14" s="182"/>
      <c r="AZ14" s="160"/>
      <c r="BA14" s="160"/>
      <c r="BB14" s="160"/>
    </row>
    <row r="15" spans="1:54 16151:16384" s="150" customFormat="1" ht="14.4" x14ac:dyDescent="0.3">
      <c r="A15" s="183" t="s">
        <v>29</v>
      </c>
      <c r="B15" s="183" t="s">
        <v>162</v>
      </c>
      <c r="C15" s="166" t="s">
        <v>253</v>
      </c>
      <c r="D15" s="170" t="s">
        <v>171</v>
      </c>
      <c r="E15" s="170" t="s">
        <v>147</v>
      </c>
      <c r="F15" s="171" t="s">
        <v>148</v>
      </c>
      <c r="G15" s="193" t="s">
        <v>133</v>
      </c>
      <c r="H15" s="170" t="s">
        <v>145</v>
      </c>
      <c r="I15" s="160" t="str">
        <f t="shared" si="0"/>
        <v>No of Racks</v>
      </c>
      <c r="J15" s="187">
        <v>1</v>
      </c>
      <c r="K15" s="187">
        <v>1</v>
      </c>
      <c r="L15" s="161">
        <f t="shared" si="1"/>
        <v>0</v>
      </c>
      <c r="M15" s="160">
        <f t="shared" si="9"/>
        <v>1</v>
      </c>
      <c r="N15" s="160">
        <f t="shared" si="3"/>
        <v>0</v>
      </c>
      <c r="O15" s="186">
        <f>30000/12</f>
        <v>2500</v>
      </c>
      <c r="P15" s="174" t="str">
        <f t="shared" si="10"/>
        <v>Rated</v>
      </c>
      <c r="Q15" s="170" t="s">
        <v>6</v>
      </c>
      <c r="R15" s="187">
        <v>4</v>
      </c>
      <c r="S15" s="187">
        <v>6.2</v>
      </c>
      <c r="T15" s="177">
        <f t="shared" si="4"/>
        <v>-2.2000000000000002</v>
      </c>
      <c r="U15" s="176">
        <v>0</v>
      </c>
      <c r="V15" s="176">
        <f>IF(T15&lt;=0,0,(IF(P15="Rated",(T15+U15)*'[2]Customer details'!$V$1,(T15+U15))))</f>
        <v>0</v>
      </c>
      <c r="W15" s="176">
        <f>IF(P15="Rated",R15*'[2]Customer details'!$V$1,R15)</f>
        <v>2</v>
      </c>
      <c r="X15" s="176">
        <f t="shared" si="5"/>
        <v>6.2</v>
      </c>
      <c r="Y15" s="176">
        <f t="shared" si="6"/>
        <v>6.2</v>
      </c>
      <c r="Z15" s="176">
        <f t="shared" si="7"/>
        <v>2.2000000000000002</v>
      </c>
      <c r="AA15" s="186">
        <f>90000/12</f>
        <v>7500</v>
      </c>
      <c r="AB15" s="163" t="s">
        <v>147</v>
      </c>
      <c r="AC15" s="176">
        <v>1.8</v>
      </c>
      <c r="AD15" s="176"/>
      <c r="AE15" s="176"/>
      <c r="AF15" s="176"/>
      <c r="AG15" s="179" t="s">
        <v>137</v>
      </c>
      <c r="AH15" s="160" t="s">
        <v>138</v>
      </c>
      <c r="AI15" s="160">
        <v>1</v>
      </c>
      <c r="AJ15" s="160">
        <v>1</v>
      </c>
      <c r="AK15" s="160">
        <f t="shared" si="11"/>
        <v>0</v>
      </c>
      <c r="AL15" s="160">
        <f t="shared" si="8"/>
        <v>1</v>
      </c>
      <c r="AM15" s="160">
        <v>0</v>
      </c>
      <c r="AN15" s="192"/>
      <c r="AO15" s="180">
        <f>O15*M15</f>
        <v>2500</v>
      </c>
      <c r="AP15" s="178"/>
      <c r="AQ15" s="178">
        <f>AF15*AE15*AC15</f>
        <v>0</v>
      </c>
      <c r="AR15" s="178">
        <f>AN15*AL15</f>
        <v>0</v>
      </c>
      <c r="AS15" s="173"/>
      <c r="AT15" s="178">
        <f>SUBTOTAL(9,AO15:AS15)</f>
        <v>2500</v>
      </c>
      <c r="AU15" s="178"/>
      <c r="AV15" s="181"/>
      <c r="AW15" s="182"/>
      <c r="AX15" s="160"/>
      <c r="AY15" s="182"/>
      <c r="AZ15" s="160"/>
      <c r="BA15" s="160"/>
      <c r="BB15" s="160"/>
      <c r="WWE15" s="98"/>
      <c r="WWF15" s="98"/>
      <c r="WWG15" s="98"/>
      <c r="WWH15" s="98"/>
      <c r="WWI15" s="98"/>
      <c r="WWJ15" s="98"/>
      <c r="WWK15" s="98"/>
      <c r="WWL15" s="98"/>
      <c r="WWM15" s="98"/>
      <c r="WWN15" s="98"/>
      <c r="WWO15" s="98"/>
      <c r="WWP15" s="98"/>
      <c r="WWQ15" s="98"/>
      <c r="WWR15" s="98"/>
      <c r="WWS15" s="98"/>
      <c r="WWT15" s="98"/>
      <c r="WWU15" s="98"/>
      <c r="WWV15" s="98"/>
      <c r="WWW15" s="98"/>
      <c r="WWX15" s="98"/>
      <c r="WWY15" s="98"/>
      <c r="WWZ15" s="98"/>
      <c r="WXA15" s="98"/>
      <c r="WXB15" s="98"/>
      <c r="WXC15" s="98"/>
      <c r="WXD15" s="98"/>
      <c r="WXE15" s="98"/>
      <c r="WXF15" s="98"/>
      <c r="WXG15" s="98"/>
      <c r="WXH15" s="98"/>
      <c r="WXI15" s="98"/>
      <c r="WXJ15" s="98"/>
      <c r="WXK15" s="98"/>
      <c r="WXL15" s="98"/>
      <c r="WXM15" s="98"/>
      <c r="WXN15" s="98"/>
      <c r="WXO15" s="98"/>
      <c r="WXP15" s="98"/>
      <c r="WXQ15" s="98"/>
      <c r="WXR15" s="98"/>
      <c r="WXS15" s="98"/>
      <c r="WXT15" s="98"/>
      <c r="WXU15" s="98"/>
      <c r="WXV15" s="98"/>
      <c r="WXW15" s="98"/>
      <c r="WXX15" s="98"/>
      <c r="WXY15" s="98"/>
      <c r="WXZ15" s="98"/>
      <c r="WYA15" s="98"/>
      <c r="WYB15" s="98"/>
      <c r="WYC15" s="98"/>
      <c r="WYD15" s="98"/>
      <c r="WYE15" s="98"/>
      <c r="WYF15" s="98"/>
      <c r="WYG15" s="98"/>
      <c r="WYH15" s="98"/>
      <c r="WYI15" s="98"/>
      <c r="WYJ15" s="98"/>
      <c r="WYK15" s="98"/>
      <c r="WYL15" s="98"/>
      <c r="WYM15" s="98"/>
      <c r="WYN15" s="98"/>
      <c r="WYO15" s="98"/>
      <c r="WYP15" s="98"/>
      <c r="WYQ15" s="98"/>
      <c r="WYR15" s="98"/>
      <c r="WYS15" s="98"/>
      <c r="WYT15" s="98"/>
      <c r="WYU15" s="98"/>
      <c r="WYV15" s="98"/>
      <c r="WYW15" s="98"/>
      <c r="WYX15" s="98"/>
      <c r="WYY15" s="98"/>
      <c r="WYZ15" s="98"/>
      <c r="WZA15" s="98"/>
      <c r="WZB15" s="98"/>
      <c r="WZC15" s="98"/>
      <c r="WZD15" s="98"/>
      <c r="WZE15" s="98"/>
      <c r="WZF15" s="98"/>
      <c r="WZG15" s="98"/>
      <c r="WZH15" s="98"/>
      <c r="WZI15" s="98"/>
      <c r="WZJ15" s="98"/>
      <c r="WZK15" s="98"/>
      <c r="WZL15" s="98"/>
      <c r="WZM15" s="98"/>
      <c r="WZN15" s="98"/>
      <c r="WZO15" s="98"/>
      <c r="WZP15" s="98"/>
      <c r="WZQ15" s="98"/>
      <c r="WZR15" s="98"/>
      <c r="WZS15" s="98"/>
      <c r="WZT15" s="98"/>
      <c r="WZU15" s="98"/>
      <c r="WZV15" s="98"/>
      <c r="WZW15" s="98"/>
      <c r="WZX15" s="98"/>
      <c r="WZY15" s="98"/>
      <c r="WZZ15" s="98"/>
      <c r="XAA15" s="98"/>
      <c r="XAB15" s="98"/>
      <c r="XAC15" s="98"/>
      <c r="XAD15" s="98"/>
      <c r="XAE15" s="98"/>
      <c r="XAF15" s="98"/>
      <c r="XAG15" s="98"/>
      <c r="XAH15" s="98"/>
      <c r="XAI15" s="98"/>
      <c r="XAJ15" s="98"/>
      <c r="XAK15" s="98"/>
      <c r="XAL15" s="98"/>
      <c r="XAM15" s="98"/>
      <c r="XAN15" s="98"/>
      <c r="XAO15" s="98"/>
      <c r="XAP15" s="98"/>
      <c r="XAQ15" s="98"/>
      <c r="XAR15" s="98"/>
      <c r="XAS15" s="98"/>
      <c r="XAT15" s="98"/>
      <c r="XAU15" s="98"/>
      <c r="XAV15" s="98"/>
      <c r="XAW15" s="98"/>
      <c r="XAX15" s="98"/>
      <c r="XAY15" s="98"/>
      <c r="XAZ15" s="98"/>
      <c r="XBA15" s="98"/>
      <c r="XBB15" s="98"/>
      <c r="XBC15" s="98"/>
      <c r="XBD15" s="98"/>
      <c r="XBE15" s="98"/>
      <c r="XBF15" s="98"/>
      <c r="XBG15" s="98"/>
      <c r="XBH15" s="98"/>
      <c r="XBI15" s="98"/>
      <c r="XBJ15" s="98"/>
      <c r="XBK15" s="98"/>
      <c r="XBL15" s="98"/>
      <c r="XBM15" s="98"/>
      <c r="XBN15" s="98"/>
      <c r="XBO15" s="98"/>
      <c r="XBP15" s="98"/>
      <c r="XBQ15" s="98"/>
      <c r="XBR15" s="98"/>
      <c r="XBS15" s="98"/>
      <c r="XBT15" s="98"/>
      <c r="XBU15" s="98"/>
      <c r="XBV15" s="98"/>
      <c r="XBW15" s="98"/>
      <c r="XBX15" s="98"/>
      <c r="XBY15" s="98"/>
      <c r="XBZ15" s="98"/>
      <c r="XCA15" s="98"/>
      <c r="XCB15" s="98"/>
      <c r="XCC15" s="98"/>
      <c r="XCD15" s="98"/>
      <c r="XCE15" s="98"/>
      <c r="XCF15" s="98"/>
      <c r="XCG15" s="98"/>
      <c r="XCH15" s="98"/>
      <c r="XCI15" s="98"/>
      <c r="XCJ15" s="98"/>
      <c r="XCK15" s="98"/>
      <c r="XCL15" s="98"/>
      <c r="XCM15" s="98"/>
      <c r="XCN15" s="98"/>
      <c r="XCO15" s="98"/>
      <c r="XCP15" s="98"/>
      <c r="XCQ15" s="98"/>
      <c r="XCR15" s="98"/>
      <c r="XCS15" s="98"/>
      <c r="XCT15" s="98"/>
      <c r="XCU15" s="98"/>
      <c r="XCV15" s="98"/>
      <c r="XCW15" s="98"/>
      <c r="XCX15" s="98"/>
      <c r="XCY15" s="98"/>
      <c r="XCZ15" s="98"/>
      <c r="XDA15" s="98"/>
      <c r="XDB15" s="98"/>
      <c r="XDC15" s="98"/>
      <c r="XDD15" s="98"/>
      <c r="XDE15" s="98"/>
      <c r="XDF15" s="98"/>
      <c r="XDG15" s="98"/>
      <c r="XDH15" s="98"/>
      <c r="XDI15" s="98"/>
      <c r="XDJ15" s="98"/>
      <c r="XDK15" s="98"/>
      <c r="XDL15" s="98"/>
      <c r="XDM15" s="98"/>
      <c r="XDN15" s="98"/>
      <c r="XDO15" s="98"/>
      <c r="XDP15" s="98"/>
      <c r="XDQ15" s="98"/>
      <c r="XDR15" s="98"/>
      <c r="XDS15" s="98"/>
      <c r="XDT15" s="98"/>
      <c r="XDU15" s="98"/>
      <c r="XDV15" s="98"/>
      <c r="XDW15" s="98"/>
      <c r="XDX15" s="98"/>
      <c r="XDY15" s="98"/>
      <c r="XDZ15" s="98"/>
      <c r="XEA15" s="98"/>
      <c r="XEB15" s="98"/>
      <c r="XEC15" s="98"/>
      <c r="XED15" s="98"/>
      <c r="XEE15" s="98"/>
      <c r="XEF15" s="98"/>
      <c r="XEG15" s="98"/>
      <c r="XEH15" s="98"/>
      <c r="XEI15" s="98"/>
      <c r="XEJ15" s="98"/>
      <c r="XEK15" s="98"/>
      <c r="XEL15" s="98"/>
      <c r="XEM15" s="98"/>
      <c r="XEN15" s="98"/>
      <c r="XEO15" s="98"/>
      <c r="XEP15" s="98"/>
      <c r="XEQ15" s="98"/>
      <c r="XER15" s="98"/>
      <c r="XES15" s="98"/>
      <c r="XET15" s="98"/>
      <c r="XEU15" s="98"/>
      <c r="XEV15" s="98"/>
      <c r="XEW15" s="98"/>
      <c r="XEX15" s="98"/>
      <c r="XEY15" s="98"/>
      <c r="XEZ15" s="98"/>
      <c r="XFA15" s="98"/>
      <c r="XFB15" s="98"/>
      <c r="XFC15" s="98"/>
      <c r="XFD15" s="98"/>
    </row>
    <row r="16" spans="1:54 16151:16384" s="98" customFormat="1" ht="14.4" x14ac:dyDescent="0.3">
      <c r="A16" s="183" t="s">
        <v>29</v>
      </c>
      <c r="B16" s="183" t="s">
        <v>162</v>
      </c>
      <c r="C16" s="194" t="s">
        <v>254</v>
      </c>
      <c r="D16" s="170" t="s">
        <v>171</v>
      </c>
      <c r="E16" s="170" t="s">
        <v>147</v>
      </c>
      <c r="F16" s="171" t="s">
        <v>148</v>
      </c>
      <c r="G16" s="193" t="s">
        <v>166</v>
      </c>
      <c r="H16" s="170" t="s">
        <v>145</v>
      </c>
      <c r="I16" s="160" t="str">
        <f t="shared" si="0"/>
        <v>U Space</v>
      </c>
      <c r="J16" s="187">
        <v>4</v>
      </c>
      <c r="K16" s="187">
        <v>4</v>
      </c>
      <c r="L16" s="161">
        <f t="shared" si="1"/>
        <v>0</v>
      </c>
      <c r="M16" s="160">
        <f t="shared" si="9"/>
        <v>4</v>
      </c>
      <c r="N16" s="160">
        <f t="shared" si="3"/>
        <v>0</v>
      </c>
      <c r="O16" s="186">
        <f>360000/21/12</f>
        <v>1428.5714285714284</v>
      </c>
      <c r="P16" s="174" t="str">
        <f t="shared" si="10"/>
        <v>Rated</v>
      </c>
      <c r="Q16" s="170" t="s">
        <v>6</v>
      </c>
      <c r="R16" s="187">
        <v>1</v>
      </c>
      <c r="S16" s="187">
        <v>0.84699999999999998</v>
      </c>
      <c r="T16" s="177">
        <f t="shared" si="4"/>
        <v>0.15300000000000002</v>
      </c>
      <c r="U16" s="176">
        <v>0</v>
      </c>
      <c r="V16" s="176">
        <f>IF(T16&lt;=0,0,(IF(P16="Rated",(T16+U16)*'Customer details'!$V$1,(T16+U16))))</f>
        <v>7.6500000000000012E-2</v>
      </c>
      <c r="W16" s="176">
        <f>IF(P16="Rated",R16*'Customer details'!$V$1,R16)</f>
        <v>0.5</v>
      </c>
      <c r="X16" s="176">
        <f t="shared" si="5"/>
        <v>0.84699999999999998</v>
      </c>
      <c r="Y16" s="176">
        <f t="shared" si="6"/>
        <v>0.84699999999999998</v>
      </c>
      <c r="Z16" s="176">
        <f t="shared" si="7"/>
        <v>-0.15300000000000002</v>
      </c>
      <c r="AA16" s="186">
        <f>90000/12</f>
        <v>7500</v>
      </c>
      <c r="AB16" s="163" t="s">
        <v>147</v>
      </c>
      <c r="AC16" s="176">
        <v>1.8</v>
      </c>
      <c r="AD16" s="176"/>
      <c r="AE16" s="176"/>
      <c r="AF16" s="176"/>
      <c r="AG16" s="179" t="s">
        <v>137</v>
      </c>
      <c r="AH16" s="160" t="s">
        <v>138</v>
      </c>
      <c r="AI16" s="160">
        <v>0</v>
      </c>
      <c r="AJ16" s="160">
        <v>0</v>
      </c>
      <c r="AK16" s="160">
        <f t="shared" si="11"/>
        <v>0</v>
      </c>
      <c r="AL16" s="160">
        <f t="shared" si="8"/>
        <v>0</v>
      </c>
      <c r="AM16" s="160">
        <v>0</v>
      </c>
      <c r="AN16" s="192"/>
      <c r="AO16" s="180">
        <f>O16*M16</f>
        <v>5714.2857142857138</v>
      </c>
      <c r="AP16" s="178"/>
      <c r="AQ16" s="178">
        <f>AF16*AE16*AC16</f>
        <v>0</v>
      </c>
      <c r="AR16" s="178">
        <f>AN16*AL16</f>
        <v>0</v>
      </c>
      <c r="AS16" s="173"/>
      <c r="AT16" s="178">
        <f>SUBTOTAL(9,AO16:AS16)</f>
        <v>5714.2857142857138</v>
      </c>
      <c r="AU16" s="178"/>
      <c r="AV16" s="181"/>
      <c r="AW16" s="182"/>
      <c r="AX16" s="160"/>
      <c r="AY16" s="182"/>
      <c r="AZ16" s="160"/>
      <c r="BA16" s="160"/>
      <c r="BB16" s="160"/>
    </row>
    <row r="17" spans="1:54 16151:16384" s="98" customFormat="1" ht="14.4" x14ac:dyDescent="0.3">
      <c r="A17" s="255" t="s">
        <v>29</v>
      </c>
      <c r="B17" s="255" t="s">
        <v>162</v>
      </c>
      <c r="C17" s="184" t="s">
        <v>255</v>
      </c>
      <c r="D17" s="170" t="s">
        <v>171</v>
      </c>
      <c r="E17" s="170" t="s">
        <v>147</v>
      </c>
      <c r="F17" s="171" t="s">
        <v>148</v>
      </c>
      <c r="G17" s="185" t="s">
        <v>133</v>
      </c>
      <c r="H17" s="170" t="s">
        <v>145</v>
      </c>
      <c r="I17" s="160" t="str">
        <f t="shared" si="0"/>
        <v>No of Racks</v>
      </c>
      <c r="J17" s="185">
        <v>1</v>
      </c>
      <c r="K17" s="185">
        <v>1</v>
      </c>
      <c r="L17" s="161">
        <f t="shared" si="1"/>
        <v>0</v>
      </c>
      <c r="M17" s="160">
        <f t="shared" si="9"/>
        <v>1</v>
      </c>
      <c r="N17" s="160">
        <f t="shared" si="3"/>
        <v>0</v>
      </c>
      <c r="O17" s="176"/>
      <c r="P17" s="174" t="str">
        <f t="shared" si="10"/>
        <v>Rated</v>
      </c>
      <c r="Q17" s="170" t="s">
        <v>6</v>
      </c>
      <c r="R17" s="185">
        <v>2.77</v>
      </c>
      <c r="S17" s="187">
        <v>0.06</v>
      </c>
      <c r="T17" s="177">
        <f t="shared" si="4"/>
        <v>2.71</v>
      </c>
      <c r="U17" s="176">
        <v>0</v>
      </c>
      <c r="V17" s="176">
        <f>IF(T17&lt;=0,0,(IF(P17="Rated",(T17+U17)*'Customer details'!$V$1,(T17+U17))))</f>
        <v>1.355</v>
      </c>
      <c r="W17" s="176">
        <f>IF(P17="Rated",R17*'Customer details'!$V$1,R17)</f>
        <v>1.385</v>
      </c>
      <c r="X17" s="176">
        <f t="shared" si="5"/>
        <v>0.06</v>
      </c>
      <c r="Y17" s="176">
        <f t="shared" si="6"/>
        <v>0.06</v>
      </c>
      <c r="Z17" s="176">
        <f t="shared" si="7"/>
        <v>-2.71</v>
      </c>
      <c r="AA17" s="160"/>
      <c r="AB17" s="163" t="s">
        <v>147</v>
      </c>
      <c r="AC17" s="176">
        <v>1.8</v>
      </c>
      <c r="AD17" s="160"/>
      <c r="AE17" s="188"/>
      <c r="AF17" s="188"/>
      <c r="AG17" s="179" t="s">
        <v>137</v>
      </c>
      <c r="AH17" s="160" t="s">
        <v>138</v>
      </c>
      <c r="AI17" s="160">
        <v>0</v>
      </c>
      <c r="AJ17" s="160">
        <v>0</v>
      </c>
      <c r="AK17" s="160">
        <f t="shared" si="11"/>
        <v>0</v>
      </c>
      <c r="AL17" s="160">
        <f t="shared" si="8"/>
        <v>0</v>
      </c>
      <c r="AM17" s="160">
        <v>0</v>
      </c>
      <c r="AN17" s="160"/>
      <c r="AO17" s="160"/>
      <c r="AP17" s="160"/>
      <c r="AQ17" s="160"/>
      <c r="AR17" s="160"/>
      <c r="AS17" s="160"/>
      <c r="AT17" s="160"/>
      <c r="AU17" s="160"/>
      <c r="AV17" s="160"/>
      <c r="AW17" s="160"/>
      <c r="AX17" s="160"/>
      <c r="AY17" s="160"/>
      <c r="AZ17" s="160"/>
      <c r="BA17" s="160"/>
      <c r="BB17" s="160"/>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c r="XEZ17"/>
      <c r="XFA17"/>
      <c r="XFB17"/>
      <c r="XFC17"/>
      <c r="XFD17"/>
    </row>
    <row r="18" spans="1:54 16151:16384" s="98" customFormat="1" ht="12" x14ac:dyDescent="0.25">
      <c r="A18" s="256" t="s">
        <v>29</v>
      </c>
      <c r="B18" s="256" t="s">
        <v>162</v>
      </c>
      <c r="C18" s="131" t="s">
        <v>181</v>
      </c>
      <c r="D18" s="200" t="s">
        <v>171</v>
      </c>
      <c r="E18" s="200" t="s">
        <v>147</v>
      </c>
      <c r="F18" s="208" t="s">
        <v>148</v>
      </c>
      <c r="G18" s="199" t="s">
        <v>133</v>
      </c>
      <c r="H18" s="200" t="s">
        <v>145</v>
      </c>
      <c r="I18" s="127" t="str">
        <f>IF(G18="Rack","No of Racks",(IF(G18="Space","Sq Ft","U Space")))</f>
        <v>No of Racks</v>
      </c>
      <c r="J18" s="228">
        <v>1</v>
      </c>
      <c r="K18" s="228">
        <v>1</v>
      </c>
      <c r="L18" s="202">
        <f>J18-K18</f>
        <v>0</v>
      </c>
      <c r="M18" s="127">
        <f t="shared" si="9"/>
        <v>1</v>
      </c>
      <c r="N18" s="127">
        <f>J18-M18</f>
        <v>0</v>
      </c>
      <c r="O18" s="225">
        <f>634575/17/12</f>
        <v>3110.6617647058824</v>
      </c>
      <c r="P18" s="204" t="str">
        <f t="shared" si="10"/>
        <v>Rated</v>
      </c>
      <c r="Q18" s="200" t="s">
        <v>6</v>
      </c>
      <c r="R18" s="247">
        <v>3</v>
      </c>
      <c r="S18" s="247">
        <v>2.25</v>
      </c>
      <c r="T18" s="195">
        <f>R18-S18</f>
        <v>0.75</v>
      </c>
      <c r="U18" s="196">
        <v>0</v>
      </c>
      <c r="V18" s="196">
        <f>IF(T18&lt;=0,0,(IF(P18="Rated",(T18+U18)*'Customer details'!$V$1,(T18+U18))))</f>
        <v>0.375</v>
      </c>
      <c r="W18" s="196">
        <f>IF(P18="Rated",R18*'Customer details'!$V$1,R18)</f>
        <v>1.5</v>
      </c>
      <c r="X18" s="196">
        <f>S18</f>
        <v>2.25</v>
      </c>
      <c r="Y18" s="196">
        <f>S18</f>
        <v>2.25</v>
      </c>
      <c r="Z18" s="196">
        <f>T18*-1</f>
        <v>-0.75</v>
      </c>
      <c r="AA18" s="220">
        <f>95000/12</f>
        <v>7916.666666666667</v>
      </c>
      <c r="AB18" s="207" t="s">
        <v>147</v>
      </c>
      <c r="AC18" s="196">
        <v>1.8</v>
      </c>
      <c r="AD18" s="196"/>
      <c r="AE18" s="196"/>
      <c r="AF18" s="196"/>
      <c r="AG18" s="209" t="s">
        <v>137</v>
      </c>
      <c r="AH18" s="127" t="s">
        <v>138</v>
      </c>
      <c r="AI18" s="127">
        <v>0</v>
      </c>
      <c r="AJ18" s="127">
        <v>0</v>
      </c>
      <c r="AK18" s="127">
        <f t="shared" si="11"/>
        <v>0</v>
      </c>
      <c r="AL18" s="127">
        <f>AI18</f>
        <v>0</v>
      </c>
      <c r="AM18" s="127">
        <v>0</v>
      </c>
      <c r="AN18" s="210"/>
      <c r="AO18" s="211">
        <f>O18*M18</f>
        <v>3110.6617647058824</v>
      </c>
      <c r="AP18" s="206"/>
      <c r="AQ18" s="206">
        <f>AF18*AE18*AC18</f>
        <v>0</v>
      </c>
      <c r="AR18" s="206">
        <f>AN18*AL18</f>
        <v>0</v>
      </c>
      <c r="AS18" s="203"/>
      <c r="AT18" s="212">
        <f>SUBTOTAL(9,AO18:AS18)</f>
        <v>3110.6617647058824</v>
      </c>
      <c r="AU18" s="212"/>
      <c r="AV18" s="213"/>
      <c r="AW18" s="128"/>
      <c r="AX18" s="127"/>
      <c r="AY18" s="128"/>
      <c r="AZ18" s="127"/>
      <c r="BA18" s="127"/>
      <c r="BB18" s="127"/>
    </row>
    <row r="19" spans="1:54 16151:16384" s="98" customFormat="1" ht="12" x14ac:dyDescent="0.25">
      <c r="A19" s="256" t="s">
        <v>29</v>
      </c>
      <c r="B19" s="256" t="s">
        <v>162</v>
      </c>
      <c r="C19" s="133" t="s">
        <v>205</v>
      </c>
      <c r="D19" s="200" t="s">
        <v>171</v>
      </c>
      <c r="E19" s="200" t="s">
        <v>147</v>
      </c>
      <c r="F19" s="208" t="s">
        <v>148</v>
      </c>
      <c r="G19" s="130" t="s">
        <v>133</v>
      </c>
      <c r="H19" s="200" t="s">
        <v>145</v>
      </c>
      <c r="I19" s="127" t="str">
        <f>IF(G19="Rack","No of Racks",(IF(G19="Space","Sq Ft","U Space")))</f>
        <v>No of Racks</v>
      </c>
      <c r="J19" s="130">
        <v>1</v>
      </c>
      <c r="K19" s="130">
        <v>1</v>
      </c>
      <c r="L19" s="202">
        <f>J19-K19</f>
        <v>0</v>
      </c>
      <c r="M19" s="127">
        <f t="shared" si="9"/>
        <v>1</v>
      </c>
      <c r="N19" s="127">
        <f>J19-M19</f>
        <v>0</v>
      </c>
      <c r="O19" s="196"/>
      <c r="P19" s="204" t="str">
        <f t="shared" si="10"/>
        <v>Rated</v>
      </c>
      <c r="Q19" s="200" t="s">
        <v>6</v>
      </c>
      <c r="R19" s="249">
        <v>3</v>
      </c>
      <c r="S19" s="247">
        <v>4.0599999999999996</v>
      </c>
      <c r="T19" s="195">
        <f>R19-S19</f>
        <v>-1.0599999999999996</v>
      </c>
      <c r="U19" s="196">
        <v>0</v>
      </c>
      <c r="V19" s="196">
        <f>IF(T19&lt;=0,0,(IF(P19="Rated",(T19+U19)*'Customer details'!$V$1,(T19+U19))))</f>
        <v>0</v>
      </c>
      <c r="W19" s="196">
        <f>IF(P19="Rated",R19*'Customer details'!$V$1,R19)</f>
        <v>1.5</v>
      </c>
      <c r="X19" s="196">
        <f>S19</f>
        <v>4.0599999999999996</v>
      </c>
      <c r="Y19" s="196">
        <f>S19</f>
        <v>4.0599999999999996</v>
      </c>
      <c r="Z19" s="196">
        <f>T19*-1</f>
        <v>1.0599999999999996</v>
      </c>
      <c r="AA19" s="127"/>
      <c r="AB19" s="207" t="s">
        <v>147</v>
      </c>
      <c r="AC19" s="196">
        <v>1.8</v>
      </c>
      <c r="AD19" s="127"/>
      <c r="AE19" s="197"/>
      <c r="AF19" s="197"/>
      <c r="AG19" s="209" t="s">
        <v>137</v>
      </c>
      <c r="AH19" s="127" t="s">
        <v>138</v>
      </c>
      <c r="AI19" s="127">
        <v>0</v>
      </c>
      <c r="AJ19" s="127">
        <v>0</v>
      </c>
      <c r="AK19" s="127">
        <f t="shared" si="11"/>
        <v>0</v>
      </c>
      <c r="AL19" s="127">
        <f>AI19</f>
        <v>0</v>
      </c>
      <c r="AM19" s="127">
        <v>0</v>
      </c>
      <c r="AN19" s="127"/>
      <c r="AO19" s="127"/>
      <c r="AP19" s="127"/>
      <c r="AQ19" s="127"/>
      <c r="AR19" s="127"/>
      <c r="AS19" s="127"/>
      <c r="AT19" s="127"/>
      <c r="AU19" s="127"/>
      <c r="AV19" s="127"/>
      <c r="AW19" s="127"/>
      <c r="AX19" s="127"/>
      <c r="AY19" s="127"/>
      <c r="AZ19" s="127"/>
      <c r="BA19" s="127"/>
      <c r="BB19" s="127"/>
    </row>
    <row r="20" spans="1:54 16151:16384" s="98" customFormat="1" ht="12" x14ac:dyDescent="0.25">
      <c r="A20" s="256" t="s">
        <v>29</v>
      </c>
      <c r="B20" s="256" t="s">
        <v>162</v>
      </c>
      <c r="C20" s="134" t="s">
        <v>221</v>
      </c>
      <c r="D20" s="200" t="s">
        <v>144</v>
      </c>
      <c r="E20" s="200" t="s">
        <v>147</v>
      </c>
      <c r="F20" s="208" t="s">
        <v>148</v>
      </c>
      <c r="G20" s="130" t="s">
        <v>133</v>
      </c>
      <c r="H20" s="200" t="s">
        <v>145</v>
      </c>
      <c r="I20" s="127" t="str">
        <f>IF(G20="Rack","No of Racks",(IF(G20="Space","Sq Ft","U Space")))</f>
        <v>No of Racks</v>
      </c>
      <c r="J20" s="130">
        <v>1</v>
      </c>
      <c r="K20" s="130">
        <v>1</v>
      </c>
      <c r="L20" s="202">
        <f>J20-K20</f>
        <v>0</v>
      </c>
      <c r="M20" s="127">
        <f t="shared" si="9"/>
        <v>1</v>
      </c>
      <c r="N20" s="127">
        <f>J20-M20</f>
        <v>0</v>
      </c>
      <c r="O20" s="220"/>
      <c r="P20" s="204" t="str">
        <f t="shared" si="10"/>
        <v>Rated</v>
      </c>
      <c r="Q20" s="200" t="s">
        <v>6</v>
      </c>
      <c r="R20" s="248">
        <v>3</v>
      </c>
      <c r="S20" s="247">
        <v>2.99</v>
      </c>
      <c r="T20" s="195">
        <f>R20-S20</f>
        <v>9.9999999999997868E-3</v>
      </c>
      <c r="U20" s="196">
        <v>0</v>
      </c>
      <c r="V20" s="196">
        <f>IF(T20&lt;=0,0,(IF(P20="Rated",(T20+U20)*'Customer details'!$V$1,(T20+U20))))</f>
        <v>4.9999999999998934E-3</v>
      </c>
      <c r="W20" s="196">
        <f>IF(P20="Rated",R20*'Customer details'!$V$1,R20)</f>
        <v>1.5</v>
      </c>
      <c r="X20" s="196">
        <f>S20</f>
        <v>2.99</v>
      </c>
      <c r="Y20" s="196">
        <f>S20</f>
        <v>2.99</v>
      </c>
      <c r="Z20" s="196">
        <f>T20*-1</f>
        <v>-9.9999999999997868E-3</v>
      </c>
      <c r="AA20" s="220">
        <f>98000/12</f>
        <v>8166.666666666667</v>
      </c>
      <c r="AB20" s="207" t="s">
        <v>147</v>
      </c>
      <c r="AC20" s="196">
        <v>1.8</v>
      </c>
      <c r="AD20" s="127"/>
      <c r="AE20" s="197"/>
      <c r="AF20" s="197"/>
      <c r="AG20" s="209" t="s">
        <v>137</v>
      </c>
      <c r="AH20" s="127" t="s">
        <v>222</v>
      </c>
      <c r="AI20" s="127">
        <v>0</v>
      </c>
      <c r="AJ20" s="127">
        <v>0</v>
      </c>
      <c r="AK20" s="127">
        <f t="shared" si="11"/>
        <v>0</v>
      </c>
      <c r="AL20" s="127">
        <f>AI20</f>
        <v>0</v>
      </c>
      <c r="AM20" s="127">
        <v>0</v>
      </c>
      <c r="AN20" s="127"/>
      <c r="AO20" s="127"/>
      <c r="AP20" s="127"/>
      <c r="AQ20" s="127"/>
      <c r="AR20" s="127"/>
      <c r="AS20" s="127"/>
      <c r="AT20" s="127"/>
      <c r="AU20" s="127"/>
      <c r="AV20" s="127"/>
      <c r="AW20" s="127"/>
      <c r="AX20" s="127"/>
      <c r="AY20" s="127"/>
      <c r="AZ20" s="127"/>
      <c r="BA20" s="127"/>
      <c r="BB20" s="127"/>
    </row>
    <row r="21" spans="1:54 16151:16384" s="98" customFormat="1" ht="12" x14ac:dyDescent="0.25">
      <c r="A21" s="256" t="s">
        <v>29</v>
      </c>
      <c r="B21" s="257" t="s">
        <v>162</v>
      </c>
      <c r="C21" s="127" t="s">
        <v>229</v>
      </c>
      <c r="D21" s="127" t="s">
        <v>144</v>
      </c>
      <c r="E21" s="200" t="s">
        <v>147</v>
      </c>
      <c r="F21" s="208" t="s">
        <v>148</v>
      </c>
      <c r="G21" s="130" t="s">
        <v>166</v>
      </c>
      <c r="H21" s="200" t="s">
        <v>145</v>
      </c>
      <c r="I21" s="127" t="str">
        <f>IF(G21="Rack","No of Racks",(IF(G21="Space","Sq Ft","U Space")))</f>
        <v>U Space</v>
      </c>
      <c r="J21" s="127">
        <v>3</v>
      </c>
      <c r="K21" s="127">
        <v>3</v>
      </c>
      <c r="L21" s="202">
        <f>J21-K21</f>
        <v>0</v>
      </c>
      <c r="M21" s="127">
        <f t="shared" si="9"/>
        <v>3</v>
      </c>
      <c r="N21" s="127">
        <f>J21-M21</f>
        <v>0</v>
      </c>
      <c r="O21" s="196"/>
      <c r="P21" s="204" t="str">
        <f t="shared" si="10"/>
        <v>Rated</v>
      </c>
      <c r="Q21" s="200" t="s">
        <v>6</v>
      </c>
      <c r="R21" s="246">
        <v>0.6</v>
      </c>
      <c r="S21" s="250">
        <v>0.89300000000000002</v>
      </c>
      <c r="T21" s="195">
        <f>R21-S21</f>
        <v>-0.29300000000000004</v>
      </c>
      <c r="U21" s="196">
        <v>0</v>
      </c>
      <c r="V21" s="196">
        <f>IF(T21&lt;=0,0,(IF(P21="Rated",(T21+U21)*'Customer details'!$V$1,(T21+U21))))</f>
        <v>0</v>
      </c>
      <c r="W21" s="196">
        <f>IF(P21="Rated",R21*'Customer details'!$V$1,R21)</f>
        <v>0.3</v>
      </c>
      <c r="X21" s="196">
        <f>S21</f>
        <v>0.89300000000000002</v>
      </c>
      <c r="Y21" s="196">
        <f>S21</f>
        <v>0.89300000000000002</v>
      </c>
      <c r="Z21" s="196">
        <f>T21*-1</f>
        <v>0.29300000000000004</v>
      </c>
      <c r="AA21" s="127"/>
      <c r="AB21" s="207" t="s">
        <v>147</v>
      </c>
      <c r="AC21" s="196">
        <v>1.8</v>
      </c>
      <c r="AD21" s="127"/>
      <c r="AE21" s="197"/>
      <c r="AF21" s="197"/>
      <c r="AG21" s="209" t="s">
        <v>137</v>
      </c>
      <c r="AH21" s="127" t="s">
        <v>138</v>
      </c>
      <c r="AI21" s="127">
        <v>0</v>
      </c>
      <c r="AJ21" s="127">
        <v>0</v>
      </c>
      <c r="AK21" s="127">
        <f t="shared" si="11"/>
        <v>0</v>
      </c>
      <c r="AL21" s="127">
        <f>AI21</f>
        <v>0</v>
      </c>
      <c r="AM21" s="127">
        <v>0</v>
      </c>
      <c r="AN21" s="127"/>
      <c r="AO21" s="127"/>
      <c r="AP21" s="127"/>
      <c r="AQ21" s="127"/>
      <c r="AR21" s="127"/>
      <c r="AS21" s="127"/>
      <c r="AT21" s="127"/>
      <c r="AU21" s="127"/>
      <c r="AV21" s="127"/>
      <c r="AW21" s="127"/>
      <c r="AX21" s="127"/>
      <c r="AY21" s="127"/>
      <c r="AZ21" s="127"/>
      <c r="BA21" s="127"/>
      <c r="BB21" s="127"/>
    </row>
  </sheetData>
  <mergeCells count="7">
    <mergeCell ref="AO2:AU2"/>
    <mergeCell ref="AV2:AY2"/>
    <mergeCell ref="E2:F2"/>
    <mergeCell ref="G2:O2"/>
    <mergeCell ref="P2:AA2"/>
    <mergeCell ref="AB2:AF2"/>
    <mergeCell ref="AG2:AN2"/>
  </mergeCells>
  <conditionalFormatting sqref="AA11">
    <cfRule type="cellIs" dxfId="9" priority="10" operator="lessThanOrEqual">
      <formula>0</formula>
    </cfRule>
    <cfRule type="cellIs" dxfId="8" priority="11" operator="lessThanOrEqual">
      <formula>0</formula>
    </cfRule>
  </conditionalFormatting>
  <conditionalFormatting sqref="AA14">
    <cfRule type="cellIs" dxfId="7" priority="8" operator="lessThanOrEqual">
      <formula>0</formula>
    </cfRule>
    <cfRule type="cellIs" dxfId="6" priority="9" operator="lessThanOrEqual">
      <formula>0</formula>
    </cfRule>
  </conditionalFormatting>
  <conditionalFormatting sqref="AA15:AA16">
    <cfRule type="cellIs" dxfId="5" priority="6" operator="lessThanOrEqual">
      <formula>0</formula>
    </cfRule>
    <cfRule type="cellIs" dxfId="4" priority="7" operator="lessThanOrEqual">
      <formula>0</formula>
    </cfRule>
  </conditionalFormatting>
  <conditionalFormatting sqref="AA18">
    <cfRule type="cellIs" dxfId="3" priority="3" operator="lessThanOrEqual">
      <formula>0</formula>
    </cfRule>
    <cfRule type="cellIs" dxfId="2" priority="4" operator="lessThanOrEqual">
      <formula>0</formula>
    </cfRule>
  </conditionalFormatting>
  <conditionalFormatting sqref="AA20">
    <cfRule type="cellIs" dxfId="1" priority="1" operator="lessThanOrEqual">
      <formula>0</formula>
    </cfRule>
    <cfRule type="cellIs" dxfId="0" priority="2" operator="lessThanOrEqual">
      <formula>0</formula>
    </cfRule>
  </conditionalFormatting>
  <dataValidations count="15">
    <dataValidation type="list" operator="equal" allowBlank="1" showInputMessage="1" showErrorMessage="1" sqref="AD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JA14:JA16 SW14:SW16 ACS14:ACS16 AMO14:AMO16 AWK14:AWK16 BGG14:BGG16 BQC14:BQC16 BZY14:BZY16 CJU14:CJU16 CTQ14:CTQ16 DDM14:DDM16 DNI14:DNI16 DXE14:DXE16 EHA14:EHA16 EQW14:EQW16 FAS14:FAS16 FKO14:FKO16 FUK14:FUK16 GEG14:GEG16 GOC14:GOC16 GXY14:GXY16 HHU14:HHU16 HRQ14:HRQ16 IBM14:IBM16 ILI14:ILI16 IVE14:IVE16 JFA14:JFA16 JOW14:JOW16 JYS14:JYS16 KIO14:KIO16 KSK14:KSK16 LCG14:LCG16 LMC14:LMC16 LVY14:LVY16 MFU14:MFU16 MPQ14:MPQ16 MZM14:MZM16 NJI14:NJI16 NTE14:NTE16 ODA14:ODA16 OMW14:OMW16 OWS14:OWS16 PGO14:PGO16 PQK14:PQK16 QAG14:QAG16 QKC14:QKC16 QTY14:QTY16 RDU14:RDU16 RNQ14:RNQ16 RXM14:RXM16 SHI14:SHI16 SRE14:SRE16 TBA14:TBA16 TKW14:TKW16 TUS14:TUS16 UEO14:UEO16 UOK14:UOK16 UYG14:UYG16 VIC14:VIC16 VRY14:VRY16 WBU14:WBU16 WLQ14:WLQ16 WVM14:WVM16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xr:uid="{00000000-0002-0000-0400-000000000000}">
      <formula1>"Fixed,Variable"</formula1>
      <formula2>0</formula2>
    </dataValidation>
    <dataValidation type="list" operator="equal" allowBlank="1" showInputMessage="1" showErrorMessage="1" sqref="AU11 JR11 TN11 ADJ11 ANF11 AXB11 BGX11 BQT11 CAP11 CKL11 CUH11 DED11 DNZ11 DXV11 EHR11 ERN11 FBJ11 FLF11 FVB11 GEX11 GOT11 GYP11 HIL11 HSH11 ICD11 ILZ11 IVV11 JFR11 JPN11 JZJ11 KJF11 KTB11 LCX11 LMT11 LWP11 MGL11 MQH11 NAD11 NJZ11 NTV11 ODR11 ONN11 OXJ11 PHF11 PRB11 QAX11 QKT11 QUP11 REL11 ROH11 RYD11 SHZ11 SRV11 TBR11 TLN11 TVJ11 UFF11 UPB11 UYX11 VIT11 VSP11 WCL11 WMH11 WWD11 AU14:AU16 JR14:JR16 TN14:TN16 ADJ14:ADJ16 ANF14:ANF16 AXB14:AXB16 BGX14:BGX16 BQT14:BQT16 CAP14:CAP16 CKL14:CKL16 CUH14:CUH16 DED14:DED16 DNZ14:DNZ16 DXV14:DXV16 EHR14:EHR16 ERN14:ERN16 FBJ14:FBJ16 FLF14:FLF16 FVB14:FVB16 GEX14:GEX16 GOT14:GOT16 GYP14:GYP16 HIL14:HIL16 HSH14:HSH16 ICD14:ICD16 ILZ14:ILZ16 IVV14:IVV16 JFR14:JFR16 JPN14:JPN16 JZJ14:JZJ16 KJF14:KJF16 KTB14:KTB16 LCX14:LCX16 LMT14:LMT16 LWP14:LWP16 MGL14:MGL16 MQH14:MQH16 NAD14:NAD16 NJZ14:NJZ16 NTV14:NTV16 ODR14:ODR16 ONN14:ONN16 OXJ14:OXJ16 PHF14:PHF16 PRB14:PRB16 QAX14:QAX16 QKT14:QKT16 QUP14:QUP16 REL14:REL16 ROH14:ROH16 RYD14:RYD16 SHZ14:SHZ16 SRV14:SRV16 TBR14:TBR16 TLN14:TLN16 TVJ14:TVJ16 UFF14:UFF16 UPB14:UPB16 UYX14:UYX16 VIT14:VIT16 VSP14:VSP16 WCL14:WCL16 WMH14:WMH16 WWD14:WWD16 AU18 JR18 TN18 ADJ18 ANF18 AXB18 BGX18 BQT18 CAP18 CKL18 CUH18 DED18 DNZ18 DXV18 EHR18 ERN18 FBJ18 FLF18 FVB18 GEX18 GOT18 GYP18 HIL18 HSH18 ICD18 ILZ18 IVV18 JFR18 JPN18 JZJ18 KJF18 KTB18 LCX18 LMT18 LWP18 MGL18 MQH18 NAD18 NJZ18 NTV18 ODR18 ONN18 OXJ18 PHF18 PRB18 QAX18 QKT18 QUP18 REL18 ROH18 RYD18 SHZ18 SRV18 TBR18 TLN18 TVJ18 UFF18 UPB18 UYX18 VIT18 VSP18 WCL18 WMH18 WWD18" xr:uid="{00000000-0002-0000-0400-000001000000}">
      <formula1>"Qtrly Adv,Qtry Ars,Monthly Adv,Monthly Ars"</formula1>
      <formula2>0</formula2>
    </dataValidation>
    <dataValidation type="list" operator="equal" allowBlank="1" showInputMessage="1" showErrorMessage="1" sqref="Q11:Q12 IO11 SK11 ACG11 AMC11 AVY11 BFU11 BPQ11 BZM11 CJI11 CTE11 DDA11 DMW11 DWS11 EGO11 EQK11 FAG11 FKC11 FTY11 GDU11 GNQ11 GXM11 HHI11 HRE11 IBA11 IKW11 IUS11 JEO11 JOK11 JYG11 KIC11 KRY11 LBU11 LLQ11 LVM11 MFI11 MPE11 MZA11 NIW11 NSS11 OCO11 OMK11 OWG11 PGC11 PPY11 PZU11 QJQ11 QTM11 RDI11 RNE11 RXA11 SGW11 SQS11 TAO11 TKK11 TUG11 UEC11 UNY11 UXU11 VHQ11 VRM11 WBI11 WLE11 WVA11 IO14:IO16 SK14:SK16 ACG14:ACG16 AMC14:AMC16 AVY14:AVY16 BFU14:BFU16 BPQ14:BPQ16 BZM14:BZM16 CJI14:CJI16 CTE14:CTE16 DDA14:DDA16 DMW14:DMW16 DWS14:DWS16 EGO14:EGO16 EQK14:EQK16 FAG14:FAG16 FKC14:FKC16 FTY14:FTY16 GDU14:GDU16 GNQ14:GNQ16 GXM14:GXM16 HHI14:HHI16 HRE14:HRE16 IBA14:IBA16 IKW14:IKW16 IUS14:IUS16 JEO14:JEO16 JOK14:JOK16 JYG14:JYG16 KIC14:KIC16 KRY14:KRY16 LBU14:LBU16 LLQ14:LLQ16 LVM14:LVM16 MFI14:MFI16 MPE14:MPE16 MZA14:MZA16 NIW14:NIW16 NSS14:NSS16 OCO14:OCO16 OMK14:OMK16 OWG14:OWG16 PGC14:PGC16 PPY14:PPY16 PZU14:PZU16 QJQ14:QJQ16 QTM14:QTM16 RDI14:RDI16 RNE14:RNE16 RXA14:RXA16 SGW14:SGW16 SQS14:SQS16 TAO14:TAO16 TKK14:TKK16 TUG14:TUG16 UEC14:UEC16 UNY14:UNY16 UXU14:UXU16 VHQ14:VHQ16 VRM14:VRM16 WBI14:WBI16 WLE14:WLE16 WVA14:WVA16 Q14:Q20 IO18 SK18 ACG18 AMC18 AVY18 BFU18 BPQ18 BZM18 CJI18 CTE18 DDA18 DMW18 DWS18 EGO18 EQK18 FAG18 FKC18 FTY18 GDU18 GNQ18 GXM18 HHI18 HRE18 IBA18 IKW18 IUS18 JEO18 JOK18 JYG18 KIC18 KRY18 LBU18 LLQ18 LVM18 MFI18 MPE18 MZA18 NIW18 NSS18 OCO18 OMK18 OWG18 PGC18 PPY18 PZU18 QJQ18 QTM18 RDI18 RNE18 RXA18 SGW18 SQS18 TAO18 TKK18 TUG18 UEC18 UNY18 UXU18 VHQ18 VRM18 WBI18 WLE18 WVA18" xr:uid="{00000000-0002-0000-0400-000002000000}">
      <formula1>"KW,KVA"</formula1>
      <formula2>0</formula2>
    </dataValidation>
    <dataValidation type="list" operator="equal" allowBlank="1" showInputMessage="1" showErrorMessage="1" sqref="AG11 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JD14:JD16 SZ14:SZ16 ACV14:ACV16 AMR14:AMR16 AWN14:AWN16 BGJ14:BGJ16 BQF14:BQF16 CAB14:CAB16 CJX14:CJX16 CTT14:CTT16 DDP14:DDP16 DNL14:DNL16 DXH14:DXH16 EHD14:EHD16 EQZ14:EQZ16 FAV14:FAV16 FKR14:FKR16 FUN14:FUN16 GEJ14:GEJ16 GOF14:GOF16 GYB14:GYB16 HHX14:HHX16 HRT14:HRT16 IBP14:IBP16 ILL14:ILL16 IVH14:IVH16 JFD14:JFD16 JOZ14:JOZ16 JYV14:JYV16 KIR14:KIR16 KSN14:KSN16 LCJ14:LCJ16 LMF14:LMF16 LWB14:LWB16 MFX14:MFX16 MPT14:MPT16 MZP14:MZP16 NJL14:NJL16 NTH14:NTH16 ODD14:ODD16 OMZ14:OMZ16 OWV14:OWV16 PGR14:PGR16 PQN14:PQN16 QAJ14:QAJ16 QKF14:QKF16 QUB14:QUB16 RDX14:RDX16 RNT14:RNT16 RXP14:RXP16 SHL14:SHL16 SRH14:SRH16 TBD14:TBD16 TKZ14:TKZ16 TUV14:TUV16 UER14:UER16 UON14:UON16 UYJ14:UYJ16 VIF14:VIF16 VSB14:VSB16 WBX14:WBX16 WLT14:WLT16 WVP14:WVP16 JD18 SZ18 ACV18 AMR18 AWN18 BGJ18 BQF18 CAB18 CJX18 CTT18 DDP18 DNL18 DXH18 EHD18 EQZ18 FAV18 FKR18 FUN18 GEJ18 GOF18 GYB18 HHX18 HRT18 IBP18 ILL18 IVH18 JFD18 JOZ18 JYV18 KIR18 KSN18 LCJ18 LMF18 LWB18 MFX18 MPT18 MZP18 NJL18 NTH18 ODD18 OMZ18 OWV18 PGR18 PQN18 QAJ18 QKF18 QUB18 RDX18 RNT18 RXP18 SHL18 SRH18 TBD18 TKZ18 TUV18 UER18 UON18 UYJ18 VIF18 VSB18 WBX18 WLT18 WVP18" xr:uid="{00000000-0002-0000-0400-000003000000}">
      <formula1>"No of Seats,Space"</formula1>
      <formula2>0</formula2>
    </dataValidation>
    <dataValidation type="list" operator="equal" allowBlank="1" showInputMessage="1" showErrorMessage="1" promptTitle="Rack, U Space, Cage" sqref="G11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IE14:IE16 SA14:SA16 ABW14:ABW16 ALS14:ALS16 AVO14:AVO16 BFK14:BFK16 BPG14:BPG16 BZC14:BZC16 CIY14:CIY16 CSU14:CSU16 DCQ14:DCQ16 DMM14:DMM16 DWI14:DWI16 EGE14:EGE16 EQA14:EQA16 EZW14:EZW16 FJS14:FJS16 FTO14:FTO16 GDK14:GDK16 GNG14:GNG16 GXC14:GXC16 HGY14:HGY16 HQU14:HQU16 IAQ14:IAQ16 IKM14:IKM16 IUI14:IUI16 JEE14:JEE16 JOA14:JOA16 JXW14:JXW16 KHS14:KHS16 KRO14:KRO16 LBK14:LBK16 LLG14:LLG16 LVC14:LVC16 MEY14:MEY16 MOU14:MOU16 MYQ14:MYQ16 NIM14:NIM16 NSI14:NSI16 OCE14:OCE16 OMA14:OMA16 OVW14:OVW16 PFS14:PFS16 PPO14:PPO16 PZK14:PZK16 QJG14:QJG16 QTC14:QTC16 RCY14:RCY16 RMU14:RMU16 RWQ14:RWQ16 SGM14:SGM16 SQI14:SQI16 TAE14:TAE16 TKA14:TKA16 TTW14:TTW16 UDS14:UDS16 UNO14:UNO16 UXK14:UXK16 VHG14:VHG16 VRC14:VRC16 WAY14:WAY16 WKU14:WKU16 WUQ14:WUQ16 IE18 SA18 ABW18 ALS18 AVO18 BFK18 BPG18 BZC18 CIY18 CSU18 DCQ18 DMM18 DWI18 EGE18 EQA18 EZW18 FJS18 FTO18 GDK18 GNG18 GXC18 HGY18 HQU18 IAQ18 IKM18 IUI18 JEE18 JOA18 JXW18 KHS18 KRO18 LBK18 LLG18 LVC18 MEY18 MOU18 MYQ18 NIM18 NSI18 OCE18 OMA18 OVW18 PFS18 PPO18 PZK18 QJG18 QTC18 RCY18 RMU18 RWQ18 SGM18 SQI18 TAE18 TKA18 TTW18 UDS18 UNO18 UXK18 VHG18 VRC18 WAY18 WKU18 WUQ18" xr:uid="{00000000-0002-0000-0400-000004000000}">
      <formula1>"Space,Rack,U space"</formula1>
      <formula2>0</formula2>
    </dataValidation>
    <dataValidation type="list" operator="equal" allowBlank="1" showInputMessage="1" showErrorMessage="1" sqref="E11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IC14:IC16 RY14:RY16 ABU14:ABU16 ALQ14:ALQ16 AVM14:AVM16 BFI14:BFI16 BPE14:BPE16 BZA14:BZA16 CIW14:CIW16 CSS14:CSS16 DCO14:DCO16 DMK14:DMK16 DWG14:DWG16 EGC14:EGC16 EPY14:EPY16 EZU14:EZU16 FJQ14:FJQ16 FTM14:FTM16 GDI14:GDI16 GNE14:GNE16 GXA14:GXA16 HGW14:HGW16 HQS14:HQS16 IAO14:IAO16 IKK14:IKK16 IUG14:IUG16 JEC14:JEC16 JNY14:JNY16 JXU14:JXU16 KHQ14:KHQ16 KRM14:KRM16 LBI14:LBI16 LLE14:LLE16 LVA14:LVA16 MEW14:MEW16 MOS14:MOS16 MYO14:MYO16 NIK14:NIK16 NSG14:NSG16 OCC14:OCC16 OLY14:OLY16 OVU14:OVU16 PFQ14:PFQ16 PPM14:PPM16 PZI14:PZI16 QJE14:QJE16 QTA14:QTA16 RCW14:RCW16 RMS14:RMS16 RWO14:RWO16 SGK14:SGK16 SQG14:SQG16 TAC14:TAC16 TJY14:TJY16 TTU14:TTU16 UDQ14:UDQ16 UNM14:UNM16 UXI14:UXI16 VHE14:VHE16 VRA14:VRA16 WAW14:WAW16 WKS14:WKS16 WUO14:WUO16 IC18 RY18 ABU18 ALQ18 AVM18 BFI18 BPE18 BZA18 CIW18 CSS18 DCO18 DMK18 DWG18 EGC18 EPY18 EZU18 FJQ18 FTM18 GDI18 GNE18 GXA18 HGW18 HQS18 IAO18 IKK18 IUG18 JEC18 JNY18 JXU18 KHQ18 KRM18 LBI18 LLE18 LVA18 MEW18 MOS18 MYO18 NIK18 NSG18 OCC18 OLY18 OVU18 PFQ18 PPM18 PZI18 QJE18 QTA18 RCW18 RMS18 RWO18 SGK18 SQG18 TAC18 TJY18 TTU18 UDQ18 UNM18 UXI18 VHE18 VRA18 WAW18 WKS18 WUO18" xr:uid="{00000000-0002-0000-0400-000005000000}">
      <formula1>"Rated,Subscribed"</formula1>
      <formula2>0</formula2>
    </dataValidation>
    <dataValidation type="list" operator="equal" allowBlank="1" showInputMessage="1" showErrorMessage="1" sqref="F11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D14:ID16 RZ14:RZ16 ABV14:ABV16 ALR14:ALR16 AVN14:AVN16 BFJ14:BFJ16 BPF14:BPF16 BZB14:BZB16 CIX14:CIX16 CST14:CST16 DCP14:DCP16 DML14:DML16 DWH14:DWH16 EGD14:EGD16 EPZ14:EPZ16 EZV14:EZV16 FJR14:FJR16 FTN14:FTN16 GDJ14:GDJ16 GNF14:GNF16 GXB14:GXB16 HGX14:HGX16 HQT14:HQT16 IAP14:IAP16 IKL14:IKL16 IUH14:IUH16 JED14:JED16 JNZ14:JNZ16 JXV14:JXV16 KHR14:KHR16 KRN14:KRN16 LBJ14:LBJ16 LLF14:LLF16 LVB14:LVB16 MEX14:MEX16 MOT14:MOT16 MYP14:MYP16 NIL14:NIL16 NSH14:NSH16 OCD14:OCD16 OLZ14:OLZ16 OVV14:OVV16 PFR14:PFR16 PPN14:PPN16 PZJ14:PZJ16 QJF14:QJF16 QTB14:QTB16 RCX14:RCX16 RMT14:RMT16 RWP14:RWP16 SGL14:SGL16 SQH14:SQH16 TAD14:TAD16 TJZ14:TJZ16 TTV14:TTV16 UDR14:UDR16 UNN14:UNN16 UXJ14:UXJ16 VHF14:VHF16 VRB14:VRB16 WAX14:WAX16 WKT14:WKT16 WUP14:WUP16 ID18 RZ18 ABV18 ALR18 AVN18 BFJ18 BPF18 BZB18 CIX18 CST18 DCP18 DML18 DWH18 EGD18 EPZ18 EZV18 FJR18 FTN18 GDJ18 GNF18 GXB18 HGX18 HQT18 IAP18 IKL18 IUH18 JED18 JNZ18 JXV18 KHR18 KRN18 LBJ18 LLF18 LVB18 MEX18 MOT18 MYP18 NIL18 NSH18 OCD18 OLZ18 OVV18 PFR18 PPN18 PZJ18 QJF18 QTB18 RCX18 RMT18 RWP18 SGL18 SQH18 TAD18 TJZ18 TTV18 UDR18 UNN18 UXJ18 VHF18 VRB18 WAX18 WKT18 WUP18" xr:uid="{00000000-0002-0000-0400-000006000000}">
      <formula1>"Bundled,Metered"</formula1>
      <formula2>0</formula2>
    </dataValidation>
    <dataValidation type="list" operator="equal" allowBlank="1" showInputMessage="1" showErrorMessage="1" promptTitle="Rack, U Space, Cage" sqref="H11 IF11 SB11 ABX11 ALT11 AVP11 BFL11 BPH11 BZD11 CIZ11 CSV11 DCR11 DMN11 DWJ11 EGF11 EQB11 EZX11 FJT11 FTP11 GDL11 GNH11 GXD11 HGZ11 HQV11 IAR11 IKN11 IUJ11 JEF11 JOB11 JXX11 KHT11 KRP11 LBL11 LLH11 LVD11 MEZ11 MOV11 MYR11 NIN11 NSJ11 OCF11 OMB11 OVX11 PFT11 PPP11 PZL11 QJH11 QTD11 RCZ11 RMV11 RWR11 SGN11 SQJ11 TAF11 TKB11 TTX11 UDT11 UNP11 UXL11 VHH11 VRD11 WAZ11 WKV11 WUR11 IF14:IF16 SB14:SB16 ABX14:ABX16 ALT14:ALT16 AVP14:AVP16 BFL14:BFL16 BPH14:BPH16 BZD14:BZD16 CIZ14:CIZ16 CSV14:CSV16 DCR14:DCR16 DMN14:DMN16 DWJ14:DWJ16 EGF14:EGF16 EQB14:EQB16 EZX14:EZX16 FJT14:FJT16 FTP14:FTP16 GDL14:GDL16 GNH14:GNH16 GXD14:GXD16 HGZ14:HGZ16 HQV14:HQV16 IAR14:IAR16 IKN14:IKN16 IUJ14:IUJ16 JEF14:JEF16 JOB14:JOB16 JXX14:JXX16 KHT14:KHT16 KRP14:KRP16 LBL14:LBL16 LLH14:LLH16 LVD14:LVD16 MEZ14:MEZ16 MOV14:MOV16 MYR14:MYR16 NIN14:NIN16 NSJ14:NSJ16 OCF14:OCF16 OMB14:OMB16 OVX14:OVX16 PFT14:PFT16 PPP14:PPP16 PZL14:PZL16 QJH14:QJH16 QTD14:QTD16 RCZ14:RCZ16 RMV14:RMV16 RWR14:RWR16 SGN14:SGN16 SQJ14:SQJ16 TAF14:TAF16 TKB14:TKB16 TTX14:TTX16 UDT14:UDT16 UNP14:UNP16 UXL14:UXL16 VHH14:VHH16 VRD14:VRD16 WAZ14:WAZ16 WKV14:WKV16 WUR14:WUR16 IF18 SB18 ABX18 ALT18 AVP18 BFL18 BPH18 BZD18 CIZ18 CSV18 DCR18 DMN18 DWJ18 EGF18 EQB18 EZX18 FJT18 FTP18 GDL18 GNH18 GXD18 HGZ18 HQV18 IAR18 IKN18 IUJ18 JEF18 JOB18 JXX18 KHT18 KRP18 LBL18 LLH18 LVD18 MEZ18 MOV18 MYR18 NIN18 NSJ18 OCF18 OMB18 OVX18 PFT18 PPP18 PZL18 QJH18 QTD18 RCZ18 RMV18 RWR18 SGN18 SQJ18 TAF18 TKB18 TTX18 UDT18 UNP18 UXL18 VHH18 VRD18 WAZ18 WKV18 WUR18" xr:uid="{00000000-0002-0000-0400-000007000000}">
      <formula1>"Caged,Uncaged"</formula1>
      <formula2>0</formula2>
    </dataValidation>
    <dataValidation type="list" allowBlank="1" showInputMessage="1" showErrorMessage="1" sqref="E12:E21" xr:uid="{00000000-0002-0000-0400-000010000000}">
      <formula1>"Rated,Subscribed"</formula1>
      <formula2>0</formula2>
    </dataValidation>
    <dataValidation type="list" allowBlank="1" showInputMessage="1" showErrorMessage="1" sqref="F12:F21" xr:uid="{00000000-0002-0000-0400-000011000000}">
      <formula1>"Bundled,Metered"</formula1>
      <formula2>0</formula2>
    </dataValidation>
    <dataValidation type="list" allowBlank="1" showInputMessage="1" showErrorMessage="1" promptTitle="Rack, U Space, Cage" sqref="H12:H21" xr:uid="{00000000-0002-0000-0400-000012000000}">
      <formula1>"Caged,Uncaged"</formula1>
      <formula2>0</formula2>
    </dataValidation>
    <dataValidation type="list" allowBlank="1" showInputMessage="1" showErrorMessage="1" sqref="Q13 Q21" xr:uid="{00000000-0002-0000-0400-000013000000}">
      <formula1>"KW,KVA"</formula1>
      <formula2>0</formula2>
    </dataValidation>
    <dataValidation type="list" allowBlank="1" showInputMessage="1" showErrorMessage="1" sqref="AG12:AG21" xr:uid="{00000000-0002-0000-0400-000014000000}">
      <formula1>"No of Seats,Space"</formula1>
      <formula2>0</formula2>
    </dataValidation>
    <dataValidation type="list" allowBlank="1" showInputMessage="1" showErrorMessage="1" promptTitle="Rack, U Space, Cage" sqref="G14:G16 G18" xr:uid="{00000000-0002-0000-0400-000015000000}">
      <formula1>"Space,Rack,U space"</formula1>
      <formula2>0</formula2>
    </dataValidation>
    <dataValidation type="list" allowBlank="1" showInputMessage="1" showErrorMessage="1" sqref="AD14:AD16 AD18" xr:uid="{00000000-0002-0000-0400-000016000000}">
      <formula1>"Fixed,Variable"</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legacyDrawing r:id="rId1"/>
</worksheet>
</file>

<file path=docProps/app.xml><?xml version="1.0" encoding="utf-8"?>
<Properties xmlns="http://schemas.openxmlformats.org/officeDocument/2006/extended-properties" xmlns:vt="http://schemas.openxmlformats.org/officeDocument/2006/docPropsVTypes">
  <Template/>
  <TotalTime>10135</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NEW SUMMARY</vt:lpstr>
      <vt:lpstr>Facility details </vt:lpstr>
      <vt:lpstr>Customer details</vt:lpstr>
      <vt:lpstr>Disconnection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dc:creator>
  <dc:description/>
  <cp:lastModifiedBy>manish singh</cp:lastModifiedBy>
  <cp:revision>50</cp:revision>
  <cp:lastPrinted>2025-02-25T13:00:13Z</cp:lastPrinted>
  <dcterms:created xsi:type="dcterms:W3CDTF">2008-09-01T12:11:01Z</dcterms:created>
  <dcterms:modified xsi:type="dcterms:W3CDTF">2026-04-08T15:39:55Z</dcterms:modified>
  <dc:language>en-IN</dc:language>
</cp:coreProperties>
</file>